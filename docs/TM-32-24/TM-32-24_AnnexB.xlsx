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C:\Users\dan.ozminkowski\OneDrive - IES\Desktop\"/>
    </mc:Choice>
  </mc:AlternateContent>
  <xr:revisionPtr revIDLastSave="89" documentId="8_{CC77AA2C-077D-4B65-86A6-B4781DB99AF4}" xr6:coauthVersionLast="36" xr6:coauthVersionMax="36" xr10:uidLastSave="{85D230F6-4243-434E-A7AD-35F70B011397}"/>
  <bookViews>
    <workbookView xWindow="315" yWindow="225" windowWidth="28500" windowHeight="15225" xr2:uid="{00000000-000D-0000-FFFF-FFFF00000000}"/>
  </bookViews>
  <sheets>
    <sheet name="ANSI-IES TM-32-24 Annex B" sheetId="1" r:id="rId1"/>
  </sheets>
  <definedNames>
    <definedName name="_xlnm._FilterDatabase" localSheetId="0" hidden="1">'ANSI-IES TM-32-24 Annex B'!$A$2:$P$136</definedName>
    <definedName name="_xlnm.Print_Area" localSheetId="0">'ANSI-IES TM-32-24 Annex B'!$A$1:$P$136</definedName>
    <definedName name="_xlnm.Print_Titles" localSheetId="0">'ANSI-IES TM-32-24 Annex B'!$1:$2</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34" i="1" l="1"/>
  <c r="I134" i="1"/>
  <c r="H134" i="1"/>
  <c r="I8" i="1"/>
  <c r="H8" i="1"/>
  <c r="L90" i="1"/>
  <c r="I114"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5" i="1"/>
  <c r="I116" i="1"/>
  <c r="I117" i="1"/>
  <c r="I118" i="1"/>
  <c r="I119" i="1"/>
  <c r="I120" i="1"/>
  <c r="I121" i="1"/>
  <c r="I122" i="1"/>
  <c r="I123" i="1"/>
  <c r="I124" i="1"/>
  <c r="I125" i="1"/>
  <c r="I126" i="1"/>
  <c r="I127" i="1"/>
  <c r="I128" i="1"/>
  <c r="I129" i="1"/>
  <c r="I130" i="1"/>
  <c r="I131" i="1"/>
  <c r="I132" i="1"/>
  <c r="I133" i="1"/>
  <c r="I72" i="1"/>
  <c r="I73" i="1"/>
  <c r="I74" i="1"/>
  <c r="I75" i="1"/>
  <c r="I76" i="1"/>
  <c r="I77" i="1"/>
  <c r="I78" i="1"/>
  <c r="I79" i="1"/>
  <c r="I80" i="1"/>
  <c r="I81" i="1"/>
  <c r="I70" i="1"/>
  <c r="I71" i="1"/>
  <c r="I3" i="1"/>
  <c r="I4" i="1"/>
  <c r="I5" i="1"/>
  <c r="I6" i="1"/>
  <c r="I7"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alcChain>
</file>

<file path=xl/sharedStrings.xml><?xml version="1.0" encoding="utf-8"?>
<sst xmlns="http://schemas.openxmlformats.org/spreadsheetml/2006/main" count="1255" uniqueCount="803">
  <si>
    <t>NEMA</t>
  </si>
  <si>
    <t>Autodesk</t>
  </si>
  <si>
    <t>IES TM-32</t>
  </si>
  <si>
    <t>CEN/TS 17623</t>
  </si>
  <si>
    <t>GLDF</t>
  </si>
  <si>
    <t>Required</t>
  </si>
  <si>
    <t>TM32-19 Grouping</t>
  </si>
  <si>
    <t>NEMA GUID</t>
  </si>
  <si>
    <t>Data Type</t>
  </si>
  <si>
    <t>Built into Revit?</t>
  </si>
  <si>
    <t>Revit Name (English)</t>
  </si>
  <si>
    <t>Name</t>
  </si>
  <si>
    <t>Group</t>
  </si>
  <si>
    <t xml:space="preserve">Description  </t>
  </si>
  <si>
    <t>Tool Tip</t>
  </si>
  <si>
    <t>GUID</t>
  </si>
  <si>
    <t>Global ID (GLDF GUID)</t>
  </si>
  <si>
    <t>EN Name EN | EN ID</t>
  </si>
  <si>
    <t>Name EN GLDF</t>
  </si>
  <si>
    <t>Remark</t>
  </si>
  <si>
    <t>x</t>
  </si>
  <si>
    <t>General</t>
  </si>
  <si>
    <t>Text</t>
  </si>
  <si>
    <t>Last Updated</t>
  </si>
  <si>
    <t>Date BIM was last updated</t>
  </si>
  <si>
    <t>Last file update time and date</t>
  </si>
  <si>
    <t>8350e45f-5dbb-4391-a637-620154f021c7</t>
  </si>
  <si>
    <t>1G6UMbjabF6Orb_N36O2Sf</t>
  </si>
  <si>
    <t>timecode of manufacture data creation  | EN ID: 07-0048</t>
  </si>
  <si>
    <t>CreationTimeTode</t>
  </si>
  <si>
    <t>GLDF identifies not via GUID but via Name EN</t>
  </si>
  <si>
    <t>Manufacturer</t>
  </si>
  <si>
    <t>Manufacturer of product</t>
  </si>
  <si>
    <t>9597d401-cfd4-4394-af6f-d84565b83b38</t>
  </si>
  <si>
    <t>3gmbhSjFD4JOPQZ7_I$HzY</t>
  </si>
  <si>
    <t>manufacturer | EN ID: 07-0002</t>
  </si>
  <si>
    <t>bddc75f4-8e27-4afc-add0-de7358bbf6d3</t>
  </si>
  <si>
    <t>Product Documentation Link</t>
  </si>
  <si>
    <t>URL</t>
  </si>
  <si>
    <t>Manufacturer URL</t>
  </si>
  <si>
    <t>URL of manufacturer website</t>
  </si>
  <si>
    <t>Web URL of manufacturer website</t>
  </si>
  <si>
    <t>322VYxGfH6DOZHOmPOqDqO</t>
  </si>
  <si>
    <t>URL manufacturer | EN ID: 07-0003</t>
  </si>
  <si>
    <t>Websites</t>
  </si>
  <si>
    <t>More than one is possible</t>
  </si>
  <si>
    <t>Product Name</t>
  </si>
  <si>
    <t>Luminaire Name or Brand name of product</t>
  </si>
  <si>
    <t>Luminaire name or brand name of product</t>
  </si>
  <si>
    <t>15f5ff4d-f917-45e4-ae77-5521e67f0a27</t>
  </si>
  <si>
    <t>3pijcXRsT9mAFfcOBnThIw</t>
  </si>
  <si>
    <t>product name | EN ID: 07-0001</t>
  </si>
  <si>
    <t>ProductName</t>
  </si>
  <si>
    <t>Photometric</t>
  </si>
  <si>
    <t>0e3d3a2c-30bc-417c-af34-b0c1bbba7ffc</t>
  </si>
  <si>
    <t>Color Temperature (CCT)</t>
  </si>
  <si>
    <t>Color Temperature</t>
  </si>
  <si>
    <t>y</t>
  </si>
  <si>
    <t>Correlated Color Temperature</t>
  </si>
  <si>
    <t>Revit Built-in</t>
  </si>
  <si>
    <t>0XeHsouWz8PxASJ4mpkdEY</t>
  </si>
  <si>
    <t>correlated colour temperature CCT | EN ID: 04-0024</t>
  </si>
  <si>
    <t>CorrelatedColorTemperature</t>
  </si>
  <si>
    <t>acfa19a5-870c-4f39-8131-df68636c1cdc</t>
  </si>
  <si>
    <t>Color Rendering Index (CRI)</t>
  </si>
  <si>
    <t>Integer</t>
  </si>
  <si>
    <t>The ability of a source to render color correctly.</t>
  </si>
  <si>
    <t>.ies File</t>
  </si>
  <si>
    <t>Photometric Web File</t>
  </si>
  <si>
    <t>Photometric test data for individual product.</t>
  </si>
  <si>
    <t>Photometric data file</t>
  </si>
  <si>
    <t>1lEpo0LO16FPpSj0jFwIOu</t>
  </si>
  <si>
    <t>light distribution curve LDC | EN ID: 04-0001</t>
  </si>
  <si>
    <t>File.LDC</t>
  </si>
  <si>
    <t>Name of the photometric file or URL to the photometric file</t>
  </si>
  <si>
    <t>Electrical</t>
  </si>
  <si>
    <t>a1c4f25a-1260-41a5-bac8-97556a57b236</t>
  </si>
  <si>
    <t>Apparent Load</t>
  </si>
  <si>
    <t>Apparent Power</t>
  </si>
  <si>
    <t>2FA0ih18LF_uKt46e5ErIv</t>
  </si>
  <si>
    <t>apparent load | EN ID: 02-0001</t>
  </si>
  <si>
    <t>Not in GLDF</t>
  </si>
  <si>
    <t>3cd5049e-0b1e-4cd7-963c-6a59f1b87ee4</t>
  </si>
  <si>
    <t>Lamp Type</t>
  </si>
  <si>
    <t>Light Source</t>
  </si>
  <si>
    <t>0G4TAennPD5gzRoG2rlZv_</t>
  </si>
  <si>
    <t>ILCOS light source type | EN ID: 02-0008</t>
  </si>
  <si>
    <t>ILCOS</t>
  </si>
  <si>
    <t>c9846d7e-34ca-4f59-94ab-3452803f997e</t>
  </si>
  <si>
    <t>Watts</t>
  </si>
  <si>
    <t>o</t>
  </si>
  <si>
    <t>Rated Input Power</t>
  </si>
  <si>
    <t>17a067965CqhDelQ$Y3mcP</t>
  </si>
  <si>
    <t>RatedInputPower | EN ID: 02-0002</t>
  </si>
  <si>
    <t>RatedInputPower</t>
  </si>
  <si>
    <t>7bcae613-49d5-40a3-a27e-8df1945ce73e</t>
  </si>
  <si>
    <t>Voltage Nominal</t>
  </si>
  <si>
    <t>Electrical Potential</t>
  </si>
  <si>
    <t>3ERn8VgnjDjhulH3MaG9yG</t>
  </si>
  <si>
    <t>nominal voltage | EN ID: 02-0028</t>
  </si>
  <si>
    <t>NominalVoltage</t>
  </si>
  <si>
    <t>652939b9-9afa-4e8c-9ab1-767525e78a49</t>
  </si>
  <si>
    <t>Phase</t>
  </si>
  <si>
    <t>Number of Poles</t>
  </si>
  <si>
    <t>Electrical Phase</t>
  </si>
  <si>
    <t>Example: Single Phase/Three Phase;</t>
  </si>
  <si>
    <t>Single Phase, or Three Phase power required?</t>
  </si>
  <si>
    <t>100MSXxt96iBH86YJ6lECo</t>
  </si>
  <si>
    <t>number of phases | EN ID 02-0047</t>
  </si>
  <si>
    <t>Mechanical</t>
  </si>
  <si>
    <t>Luminaire Housing Shape, 3D</t>
  </si>
  <si>
    <t>Defined in photometric web file (cuboid, cylinder)</t>
  </si>
  <si>
    <t>5f141709-2625-47af-8618-00e1c5e9eac1</t>
  </si>
  <si>
    <t>1zs4Cj96j3d8TWAeeixJga</t>
  </si>
  <si>
    <t>luminaire housing shape 3D | EN ID: 01-0010</t>
  </si>
  <si>
    <t>SimpleGeometry</t>
  </si>
  <si>
    <t>Simple Geometry (Cuboid, Cylinder) - not complex 3D model</t>
  </si>
  <si>
    <t>Housing Color</t>
  </si>
  <si>
    <t>Color of luminaire housing</t>
  </si>
  <si>
    <t>The name of color of the housing or RAL number.</t>
  </si>
  <si>
    <t>2f317fc3-3f64-4214-83fd-390823fc9d91</t>
  </si>
  <si>
    <t>13i4dlOM1FvhfPVt5JElgA</t>
  </si>
  <si>
    <t>housing colour | EN ID: 07-0042</t>
  </si>
  <si>
    <t>HousingColor</t>
  </si>
  <si>
    <t>Material</t>
  </si>
  <si>
    <t>Housing Material</t>
  </si>
  <si>
    <t>Main material of luminaire housing</t>
  </si>
  <si>
    <t>Material of luminaire housing</t>
  </si>
  <si>
    <t>9704f476-596b-43e9-919a-42f7881c8921</t>
  </si>
  <si>
    <t>18_K3PHM50sAUN6OEG2oCA</t>
  </si>
  <si>
    <t>housing material | EN ID: 07-0043</t>
  </si>
  <si>
    <t>Number</t>
  </si>
  <si>
    <t>Light Loss Factor</t>
  </si>
  <si>
    <t>Multiplier used to predict the future performance (maintained luminous flux) relative to the initial properties of an installed lighting system.</t>
  </si>
  <si>
    <t>0$H_zVMtjA3vm1ce$LVc1D</t>
  </si>
  <si>
    <t xml:space="preserve">overall MF | EN ID: </t>
  </si>
  <si>
    <t>Calculate Coefficient of Utilization</t>
  </si>
  <si>
    <t>A value used to indicate that the Coefficient of Utilization will be calculated for the lighting fixture by default. In a project, you can change this default behavior by changing instance properties.</t>
  </si>
  <si>
    <t xml:space="preserve">Enable or disable Coefficient of Utilization calculations. </t>
  </si>
  <si>
    <t>Coefficient of Utilization</t>
  </si>
  <si>
    <t>A value used to define the efficiency of a lighting fixture in transferring luminous energy to the work plane in a particular area. This value shows the percentage of lumens that reach the work plane after light is lost due to the fixture’s efficiency at transmitting light, the room proportions, and the ability of room surfaces to reflect light.
If you select Calculate Coefficient of Utilization (default), this parameter is read-only. If you clear Calculate Coefficient of Utilization (default), you can enter a value between 0 and 1, or enter a formula.
In a family, this parameter defines the default value for the lighting fixture. In a project, you can change the default in instance properties.</t>
  </si>
  <si>
    <t>The percentage of emitted lumens delivered to the task area for a given environment.</t>
  </si>
  <si>
    <t>Yes/No</t>
  </si>
  <si>
    <t>Dimmable</t>
  </si>
  <si>
    <t>Determines whether the luminaire
is dimmable.</t>
  </si>
  <si>
    <t>4d4881f3-5a77-41eb-a140-e03a297c2351</t>
  </si>
  <si>
    <t>1rdcbmVG19UgBf_YVdUo9f</t>
  </si>
  <si>
    <t>dimmable | EN ID: 02-0036</t>
  </si>
  <si>
    <t>Load Classification</t>
  </si>
  <si>
    <t>Indicates whether the load is connected to the Lighting or Power panel.</t>
  </si>
  <si>
    <t>038052b7-7d2c-45e2-981f-7dc0b042c255</t>
  </si>
  <si>
    <t>Product Depth</t>
  </si>
  <si>
    <t>Length</t>
  </si>
  <si>
    <t>Depth</t>
  </si>
  <si>
    <t>1RIsLltoX1whNaYkaCoHXJ</t>
  </si>
  <si>
    <t>recessed required depth | EN ID: 01-0007</t>
  </si>
  <si>
    <t>RecessedDepth</t>
  </si>
  <si>
    <t>c59a50f1-6e72-4981-ad58-2a65b8fbc846</t>
  </si>
  <si>
    <t>Product Diameter</t>
  </si>
  <si>
    <t>Diameter</t>
  </si>
  <si>
    <t>2GZ1YB8enFVhDHOKgLc$BU</t>
  </si>
  <si>
    <t>overall diameter | EN ID: 01-0001</t>
  </si>
  <si>
    <t>SimpleGeometry.Cuboid.Diameter, SimpleGeometry.Cylinder.Diameter</t>
  </si>
  <si>
    <t>Diameter of the simple geometry</t>
  </si>
  <si>
    <t>Diameter of the Luminous Area</t>
  </si>
  <si>
    <t>Diameter of the light circular shape aperture on the luminaire. Also indicated in the photometric file IES and LDT</t>
  </si>
  <si>
    <t>59b50a71-0256-43f0-8982-c320c4ce2cda</t>
  </si>
  <si>
    <t>1mHV_4yHLEFuxOaIDlNmNn</t>
  </si>
  <si>
    <t>diameter of the luminous area | EN ID: 01-0020</t>
  </si>
  <si>
    <t>CircularEmitter.Diameter</t>
  </si>
  <si>
    <t>Diameter of the simple round geometry</t>
  </si>
  <si>
    <t>8822b540-105f-47d1-847d-e3df372faa1e</t>
  </si>
  <si>
    <t>Product Height</t>
  </si>
  <si>
    <t>Height</t>
  </si>
  <si>
    <t>19Z9XKYDT4p8HR0ZbD$wO_</t>
  </si>
  <si>
    <t>height | EN ID: 01-0002</t>
  </si>
  <si>
    <t>SimpleGeometry.Cuboid.Height, SimpleGeometry.Cylinder.Height
OR ProductSize.Height</t>
  </si>
  <si>
    <t>Height of the simple geometry
OR descriptive using ProductSize</t>
  </si>
  <si>
    <t>Height of  Luminous Area</t>
  </si>
  <si>
    <t>The height of the luminous box of the luminaire. Also indicated in the photometric file.</t>
  </si>
  <si>
    <t>606a8c3b-8096-4d55-81e1-3ac6201886bf</t>
  </si>
  <si>
    <t>0WXZRI6CD2KfL4xC1uuLBF</t>
  </si>
  <si>
    <t>height of the luminous area | EN ID: 01-0021</t>
  </si>
  <si>
    <t>C-Heights</t>
  </si>
  <si>
    <t>51782a3a-e0cb-45b4-86b1-2788dd5d6148</t>
  </si>
  <si>
    <t>Product Length</t>
  </si>
  <si>
    <t>Length of Luminous Area</t>
  </si>
  <si>
    <t>The length of the luminous box of the luminaire. Also indicated in the photometric file.</t>
  </si>
  <si>
    <t>1807c60b-35e5-4e55-897e-49570dee6b53</t>
  </si>
  <si>
    <t>d5e464aa-5c32-4e45-91b5-8db19b6f6ebe</t>
  </si>
  <si>
    <t>Radius</t>
  </si>
  <si>
    <t>The radius of a circular luminaire.</t>
  </si>
  <si>
    <t>b3d433e9-f085-469f-810a-ead142e20f7e</t>
  </si>
  <si>
    <t>Product Width</t>
  </si>
  <si>
    <t>Width</t>
  </si>
  <si>
    <t>1dPvrZN3vEIB0n0vwYvDcX</t>
  </si>
  <si>
    <t>width | EN ID: 01-0004</t>
  </si>
  <si>
    <t>SimpleGeometry.Cuboid.Width
OR ProductSize.Width</t>
  </si>
  <si>
    <t>Width of Luminous Area</t>
  </si>
  <si>
    <t>fecae275-f3d6-4f86-86df-7f957102c786</t>
  </si>
  <si>
    <t>2SqBhDZKD1hBjGWsV4q_GQ</t>
  </si>
  <si>
    <t>width of the luminous area | EN ID: 01-0023</t>
  </si>
  <si>
    <t>RectangularEmitter.Width</t>
  </si>
  <si>
    <t>Diameter of the simple rectangular geometry</t>
  </si>
  <si>
    <t>Emergency</t>
  </si>
  <si>
    <t>Emergency Lighting Capable</t>
  </si>
  <si>
    <t>04ac16ce-15d8-4607-a43a-1fece8f1cc51</t>
  </si>
  <si>
    <t>0nXXpyMbD4QgzHiMoFE$Kf</t>
  </si>
  <si>
    <t>emergency lighting capable | EN ID: 03-0001</t>
  </si>
  <si>
    <t>EmergencyBehaviour</t>
  </si>
  <si>
    <t>Emergency Lighting Type</t>
  </si>
  <si>
    <t>3602aa1f-59fe-4c06-94f3-fdf66550fa62</t>
  </si>
  <si>
    <t>3Q6UsxAKD0Q8mO0x0ZsmhD</t>
  </si>
  <si>
    <t>dedicated emergency lighting type | EN ID: 01-0020</t>
  </si>
  <si>
    <t>Application</t>
  </si>
  <si>
    <t>Mounting</t>
  </si>
  <si>
    <t>61767f07-f194-447c-b6fb-66f9285a7d39</t>
  </si>
  <si>
    <t>Mounting Type</t>
  </si>
  <si>
    <t>3m5UX0NuH4YRPUJ1EmzXz7</t>
  </si>
  <si>
    <t>mounting type | EN ID: 06-0003</t>
  </si>
  <si>
    <t>Mountings</t>
  </si>
  <si>
    <t>Maintenance</t>
  </si>
  <si>
    <t>0acd978b-9495-4fe4-a8c7-66bacc6243a2</t>
  </si>
  <si>
    <t>Clearance Depth on Bottom</t>
  </si>
  <si>
    <t>Access Clearance Bottom</t>
  </si>
  <si>
    <t>2AvYrjYPr0sRr1MihNFaSY</t>
  </si>
  <si>
    <t>access clearance bottom | EN ID: 08-0024</t>
  </si>
  <si>
    <t>c8d6bd8e-515e-4d40-aac4-d3320184754c</t>
  </si>
  <si>
    <t>Clearance Depth on Front</t>
  </si>
  <si>
    <t>Access Clearance Front</t>
  </si>
  <si>
    <t>1aiuNjGlP5CeuWyc0dii8P</t>
  </si>
  <si>
    <t>access clearance front | EN ID: 08-0027</t>
  </si>
  <si>
    <t>1799aaac-7681-4e1b-b610-0587482f41be</t>
  </si>
  <si>
    <t>Clearance Depth on Left</t>
  </si>
  <si>
    <t>Access Clearance Left</t>
  </si>
  <si>
    <t>3fYv9z7yf7cwK81XdvBN10</t>
  </si>
  <si>
    <t>access clearance left | EN ID: 08-0025</t>
  </si>
  <si>
    <t>e3926a6c-0da9-48ed-ad5d-d4a4376472e8</t>
  </si>
  <si>
    <t>Clearance Depth on Right</t>
  </si>
  <si>
    <t>Access Clearance Right</t>
  </si>
  <si>
    <t>0I4OByNdDC4BHSKOAD8s5t</t>
  </si>
  <si>
    <t>access clearance right | EN ID: 08-0026</t>
  </si>
  <si>
    <t>cc2e56cc-6338-45c3-a779-55609a49d293</t>
  </si>
  <si>
    <t>Clearance Depth on Top</t>
  </si>
  <si>
    <t>Access Clearance Top</t>
  </si>
  <si>
    <t>1_oAxKXSb5R97lfGHcRkN8</t>
  </si>
  <si>
    <t>access clearance top | EN ID: 08-0029</t>
  </si>
  <si>
    <t>5be0ecbb-d514-4549-80be-b4333a4aa35e</t>
  </si>
  <si>
    <t>Circuit Number Text</t>
  </si>
  <si>
    <t>Circuit Number</t>
  </si>
  <si>
    <t>Serial number for circuit.</t>
  </si>
  <si>
    <t>2tDs9PFTzF$wJWyj72SQyt</t>
  </si>
  <si>
    <t xml:space="preserve">circuit number | EN ID: </t>
  </si>
  <si>
    <t>Lamp Lumen Depreciation</t>
  </si>
  <si>
    <t>Lamp Lumen Maintenance Factor</t>
  </si>
  <si>
    <t>2Ys5wBTunE_AZBAQnsTadY</t>
  </si>
  <si>
    <t>lamp lumen maintenance factor  | EN ID: 08-0016</t>
  </si>
  <si>
    <t>LampLumenMaintenanceFactor</t>
  </si>
  <si>
    <t>Luminaire Dirt Depreciation</t>
  </si>
  <si>
    <t>3zQynANFH5AxO46k9nGJV_</t>
  </si>
  <si>
    <t>luminaire maintenance factor  | EN ID: 08-0018</t>
  </si>
  <si>
    <t>LuminaireMaintenanceFactor</t>
  </si>
  <si>
    <t>Description</t>
  </si>
  <si>
    <t>Description of product</t>
  </si>
  <si>
    <t>Description or comments</t>
  </si>
  <si>
    <t>157f9768-92d6-4c2a-b6c6-4021de41bca4</t>
  </si>
  <si>
    <t>1u894$Gsj3PPXX6m5zKlOG</t>
  </si>
  <si>
    <t>description | EN ID: 07-0012</t>
  </si>
  <si>
    <t>ProductMetaData.Description</t>
  </si>
  <si>
    <t>5102b873-5fab-45b7-a2d0-f83ddee8d345</t>
  </si>
  <si>
    <t>Product Family</t>
  </si>
  <si>
    <t>Name given to group of similar products</t>
  </si>
  <si>
    <t>1H6f7P7l571P_cjMg7gPxK</t>
  </si>
  <si>
    <t>product family | EN ID: 07-0011</t>
  </si>
  <si>
    <t>ProductSerie</t>
  </si>
  <si>
    <t>Light Source Included</t>
  </si>
  <si>
    <t>Part of CIE definition (CIE 95?), Manufacturer Provides the light source "lamp" depreciated</t>
  </si>
  <si>
    <t>40cc9cbd-1ba1-41e6-8707-a9b416fd50b1</t>
  </si>
  <si>
    <t>018C_3ZRn5IufwY89oB9NV</t>
  </si>
  <si>
    <t>light source included  | EN ID: 02-0012</t>
  </si>
  <si>
    <t>Through Wiring</t>
  </si>
  <si>
    <t>39158cf9-e509-47fe-a95a-5537c4712b85</t>
  </si>
  <si>
    <t>2nKXmluvb7_8clWogllEcr</t>
  </si>
  <si>
    <t>through wiring | EN ID: 02-0049</t>
  </si>
  <si>
    <t>With Connecting Cable</t>
  </si>
  <si>
    <t>5ac947d0-4e86-40d8-b271-34c36524a4b0</t>
  </si>
  <si>
    <t>1UUzk8eSnF9h$NyNPliShg</t>
  </si>
  <si>
    <t>with connecting cable | EN ID: 02-0050</t>
  </si>
  <si>
    <t>With Dimmer</t>
  </si>
  <si>
    <t>5faaf7d9-72b9-43da-b254-6fb6cafd6de7</t>
  </si>
  <si>
    <t>3YVv_4s1LA0uiEUpMsReJ9</t>
  </si>
  <si>
    <t>with dimmer | EN ID: 02-0037</t>
  </si>
  <si>
    <t>With Power Plug</t>
  </si>
  <si>
    <t>1aa11302-ada2-47df-bd16-ea98daa8bd0a</t>
  </si>
  <si>
    <t>1oLuIWYPjCIvl7dqwEXdaN</t>
  </si>
  <si>
    <t>with power plug | EN ID: 02-0051</t>
  </si>
  <si>
    <t>With Sensor</t>
  </si>
  <si>
    <t>ccfc3669-0bf6-498c-b578-8fe0cbab571f</t>
  </si>
  <si>
    <t>1h35yfOg10veXdUQaAudl2</t>
  </si>
  <si>
    <t>with sensing device | EN ID: 02-0053</t>
  </si>
  <si>
    <t>With Switch</t>
  </si>
  <si>
    <t>3454a7f1-05ce-45fd-ad23-b64dad85f7d2</t>
  </si>
  <si>
    <t>2RVwJxv$TCNB03cljqpK26</t>
  </si>
  <si>
    <t>with switch | EN ID: 02-0052</t>
  </si>
  <si>
    <t>Cutting out Diameter</t>
  </si>
  <si>
    <t>48ea3b3c-7921-4716-a6ab-cbb9c4d5e5e1</t>
  </si>
  <si>
    <t>2A6xVlUTj9QP1G$qb4FiWv</t>
  </si>
  <si>
    <t>cut-out diameter | EN ID: 01-0006</t>
  </si>
  <si>
    <t>CircularCutout.Diameter</t>
  </si>
  <si>
    <t>Cutting out Length</t>
  </si>
  <si>
    <t>b4d75e0a-7fd0-4db4-9abd-42a1e9a3bcfc</t>
  </si>
  <si>
    <t>2VEYAfd7j4FQtJgAb_riA5</t>
  </si>
  <si>
    <t>cutting out length | EN ID: 01-0008</t>
  </si>
  <si>
    <t>CircularCutout.Depth, RectangularCutout.Depth</t>
  </si>
  <si>
    <t>Cutting out Width</t>
  </si>
  <si>
    <t>120b879b-b996-457d-ba4e-5684db29e113</t>
  </si>
  <si>
    <t>2pFfNBOuv1Tf_RTQpYktGL</t>
  </si>
  <si>
    <t>cutting out width | EN ID: 01-0009</t>
  </si>
  <si>
    <t>RectangularCutout.Width</t>
  </si>
  <si>
    <t>Required Recess Depth</t>
  </si>
  <si>
    <t>e9ed463c-ac3f-46fc-9dd8-f661446876d4</t>
  </si>
  <si>
    <t>Battery Capacity</t>
  </si>
  <si>
    <t>2b6a2c17-1cf5-44a2-a605-a3acf40c9b3b</t>
  </si>
  <si>
    <t>3HSRRigDn3bwrPttqPraMV</t>
  </si>
  <si>
    <t>battery capacity | EN ID: 03-0020</t>
  </si>
  <si>
    <t>Battery Type</t>
  </si>
  <si>
    <t>Battery type, Cell type.</t>
  </si>
  <si>
    <t>2229ac1a-3802-40a7-89cd-80aeb0177b05</t>
  </si>
  <si>
    <t>29ZiimATr4QO0B4wwiQNa8</t>
  </si>
  <si>
    <t>battery type | EN ID: 03-0019</t>
  </si>
  <si>
    <t>Battery Voltage</t>
  </si>
  <si>
    <t>3258ce83-85d5-40e9-998e-b73fee7e5d87</t>
  </si>
  <si>
    <t>1hLQSaFhL7LOoWCue_qAOm</t>
  </si>
  <si>
    <t>battery voltage | EN ID: 03-0021</t>
  </si>
  <si>
    <t>Emergency Lighting Light Source Type</t>
  </si>
  <si>
    <t>LED/halogen "lamp" depreciated</t>
  </si>
  <si>
    <t>7851c151-d0d1-4a4e-a43d-9ff1d137880e</t>
  </si>
  <si>
    <t>3$hGYwTMb2sQ53dzP$Gjc9</t>
  </si>
  <si>
    <t>emergency lighting light source type  | EN ID: 03-0004</t>
  </si>
  <si>
    <t>Emergency Unit Integrated</t>
  </si>
  <si>
    <t>92cadd1f-e81c-4305-80c4-d67c6e78a888</t>
  </si>
  <si>
    <t>3pJBuEixPAV9f0wTnl2cOM</t>
  </si>
  <si>
    <t>emergency unit integrated | EN ID: 03-0002</t>
  </si>
  <si>
    <t>emergencyBehaviour.Combined</t>
  </si>
  <si>
    <t>Battery Exchange Possible</t>
  </si>
  <si>
    <t>1e564ae4-c7bf-4ac8-ba32-e0e96ffb7fad</t>
  </si>
  <si>
    <t>3Kn4FA4wT8fwq6TqMs8LSq</t>
  </si>
  <si>
    <t>battery exchange possible | EN ID: 08-0022</t>
  </si>
  <si>
    <t>Time</t>
  </si>
  <si>
    <t>Burn-In Time</t>
  </si>
  <si>
    <t>60372e24-0c95-4006-89e1-1bf9fdc81ae3</t>
  </si>
  <si>
    <t>3v5OARYZT1YPVKbbszPFRk</t>
  </si>
  <si>
    <t>burn-in time | EN ID: 08-0002</t>
  </si>
  <si>
    <t>Lamp Survival Factor</t>
  </si>
  <si>
    <t>5b6dc4cd-d79c-42ef-a42e-3af6ecdcc07b</t>
  </si>
  <si>
    <t>3i22ssv3nDYAGDmO9prt0t</t>
  </si>
  <si>
    <t>lamp survival factor  | EN ID: 08-0017</t>
  </si>
  <si>
    <t>LampSurvivalFactor</t>
  </si>
  <si>
    <t>Acoustics</t>
  </si>
  <si>
    <t>Acoustic Absorption Average</t>
  </si>
  <si>
    <t>8719b75f-0994-47e7-94c8-66cf2a88fc4d</t>
  </si>
  <si>
    <t>1Kv1pLf6D1dA85JgnKKPT1</t>
  </si>
  <si>
    <t>acoustic absorption average | EN ID: 08-0031</t>
  </si>
  <si>
    <t>Acoustic Absorption Table</t>
  </si>
  <si>
    <t>8519b971-a622-42d5-9159-20074873c197</t>
  </si>
  <si>
    <t>03XhO08LHDWvZXteTHjOi9</t>
  </si>
  <si>
    <t>acoustic absorption table | EN ID: 08-0030</t>
  </si>
  <si>
    <t>AcousticAbsorptionRates</t>
  </si>
  <si>
    <t>645a1d97-cd6f-4820-b1b4-ebe20ffe0e9c</t>
  </si>
  <si>
    <t>Lamp Quantity</t>
  </si>
  <si>
    <t>Number of Light outputs</t>
  </si>
  <si>
    <t>Number of individual light sources (not number of diodes in LED, ex. lamps in chandelier) - disassociate from GLDF</t>
  </si>
  <si>
    <t>1PMNxHS2z4tRuwiQxyzRfs</t>
  </si>
  <si>
    <t>number of light outputs | EN ID: 01-0019</t>
  </si>
  <si>
    <t>[EmitterCount]</t>
  </si>
  <si>
    <t>Halogen-Free</t>
  </si>
  <si>
    <t>0133418e-8d3e-48bf-9f9a-8bb902b5cdfa</t>
  </si>
  <si>
    <t>2DJLgonKH2zvtUylGDtoL3</t>
  </si>
  <si>
    <t>halogen-free | EN ID: 01-0031</t>
  </si>
  <si>
    <t>Minimum Clearance</t>
  </si>
  <si>
    <t>Also known as Minimum Distance.  Minimum clearance distance to other objects.</t>
  </si>
  <si>
    <t>a39ef487-abc2-491a-8c56-813f40f71c54</t>
  </si>
  <si>
    <t>0jRoUrk2nF5QFenmXXlBTS</t>
  </si>
  <si>
    <t>minimum distance | EN ID: 01-0034</t>
  </si>
  <si>
    <t>Temperature</t>
  </si>
  <si>
    <t>Operation Temperature</t>
  </si>
  <si>
    <t>Normal operating temp of item</t>
  </si>
  <si>
    <t>6984ae00-a9dd-46d6-ba61-12081d4d95ec</t>
  </si>
  <si>
    <t>Ambient temperature range.</t>
  </si>
  <si>
    <t>02b312a4-d1eb-4fd5-95eb-e19d75d74848</t>
  </si>
  <si>
    <t>2gr49_xaP46O1yRdKp3PXW</t>
  </si>
  <si>
    <t>ambient temperature | EN ID: 06-0028</t>
  </si>
  <si>
    <t>RatedAmbientTemperature</t>
  </si>
  <si>
    <t>Flexible</t>
  </si>
  <si>
    <t>Yes/No - Pliable or bendable</t>
  </si>
  <si>
    <t>The Luminaire body is flexible</t>
  </si>
  <si>
    <t>ae098f50-d654-458a-9e86-dd4d1eb044e1</t>
  </si>
  <si>
    <t>1oCak0l6v9Bew_SHOfRFnw</t>
  </si>
  <si>
    <t>pliable | EN ID: 01-0025</t>
  </si>
  <si>
    <t>Sealing Material</t>
  </si>
  <si>
    <t>95009d7f-9a55-4816-9ec5-78775c93125e</t>
  </si>
  <si>
    <t>0f2af0EifB1Qi6xalTs1Xn</t>
  </si>
  <si>
    <t>sealing material | EN ID: 01-0029</t>
  </si>
  <si>
    <t>Shipping Height</t>
  </si>
  <si>
    <t>90e0715a-e991-481c-9608-3e3ad681bbfa</t>
  </si>
  <si>
    <t>1i_XY2Awj5RRadNmgPS3yQ</t>
  </si>
  <si>
    <t>shipping height | EN ID: 01-0012</t>
  </si>
  <si>
    <t>Shipping Length</t>
  </si>
  <si>
    <t>ae55a1ec-256b-4b00-8ce0-f9441ce1e57d</t>
  </si>
  <si>
    <t>10UDC$GOvEHexmf_I8j9xG</t>
  </si>
  <si>
    <t>shipping length | EN ID: 01-0013</t>
  </si>
  <si>
    <t>3a947701-f2a7-475b-87e5-5252ce87639e</t>
  </si>
  <si>
    <t>Equipment Weight Shipped</t>
  </si>
  <si>
    <t>Weight</t>
  </si>
  <si>
    <t>Shipping Weight</t>
  </si>
  <si>
    <t>5dee06c8-4615-4bd3-9220-3e6e2c1297d0</t>
  </si>
  <si>
    <t>1Zek8UyXfE6gToN8_RDHFg</t>
  </si>
  <si>
    <t>shipping weight | EN ID: 01-0011</t>
  </si>
  <si>
    <t>Shipping Width</t>
  </si>
  <si>
    <t>c6f94aab-ea74-4d3f-8dc0-f4bf29d32a06</t>
  </si>
  <si>
    <t>1ybyhd8TbACg99OxpWMoOg</t>
  </si>
  <si>
    <t>shipping width | EN ID: 01-0014</t>
  </si>
  <si>
    <t>Silicone-free</t>
  </si>
  <si>
    <t>3c9a6c4b-38b9-434d-b11b-e9cab2741c17</t>
  </si>
  <si>
    <t>3jAmXEFTn9oPlBD_oO4BfE</t>
  </si>
  <si>
    <t>silicone-free | EN ID: 01-0030</t>
  </si>
  <si>
    <t>Temperature on Light Aperture</t>
  </si>
  <si>
    <t>838b9f89-c9d5-44b3-883c-52bc516b7afb</t>
  </si>
  <si>
    <t>3IPpBFdz17PB0W0suiESss</t>
  </si>
  <si>
    <t>temperature on light aperture | EN ID: 01-0032</t>
  </si>
  <si>
    <t>0c904f18-fc9f-4c6b-b378-b535f7d0c21e</t>
  </si>
  <si>
    <t>Equipment Weight</t>
  </si>
  <si>
    <t>5de1affc-b992-4202-ab5f-bf414e76a681</t>
  </si>
  <si>
    <t>1RPyGAgMf4hRTZ0DogLFnU</t>
  </si>
  <si>
    <t>weight  | EN ID: 01-0005</t>
  </si>
  <si>
    <t>Weigth</t>
  </si>
  <si>
    <t>Drive Over Rated</t>
  </si>
  <si>
    <t>b7ca70f4-fe30-4cf3-8b27-d2019dc6ed45</t>
  </si>
  <si>
    <t>3CckyLFxX8KxZVvgilS7Jt</t>
  </si>
  <si>
    <t>Vehicle Drive over | EN ID: 01-0026</t>
  </si>
  <si>
    <t>ProtectiveAreas &gt; Area &gt; Drive/Roll-over proof</t>
  </si>
  <si>
    <t>Walk Over Rated</t>
  </si>
  <si>
    <t>Pedestrian load rated- Yes/No</t>
  </si>
  <si>
    <t>dd4ada0b-37d6-4961-aa1f-b808d8e7b7ed</t>
  </si>
  <si>
    <t>2oSi7BeZjD4BPkHbNSX6wX</t>
  </si>
  <si>
    <t>Walk over | EN ID:</t>
  </si>
  <si>
    <t>Vehicle Roll over</t>
  </si>
  <si>
    <t>3f642724-34e1-4369-8523-21706fa11526</t>
  </si>
  <si>
    <t>0WuJ9Ccxr1Nw42ttiXpTh9</t>
  </si>
  <si>
    <t>Vehicle Roll over | EN ID:</t>
  </si>
  <si>
    <t xml:space="preserve">Ambient Temperature </t>
  </si>
  <si>
    <t>850f1611-4fd6-484d-86f2-4687114abe49</t>
  </si>
  <si>
    <t>Ambient Temperature  | EN ID: 06-0028</t>
  </si>
  <si>
    <t>DescriptiveAttributes &gt; OperationsAndMaintenance &gt; AmbientTemperature</t>
  </si>
  <si>
    <t>Amount of Addresses</t>
  </si>
  <si>
    <t>6ba03f1f-d847-468e-b4f3-c4c0289d868c</t>
  </si>
  <si>
    <t>2a382qr4fB08Wb9xoufkaq</t>
  </si>
  <si>
    <t>Amount of Addresses | EN ID: 02-0041</t>
  </si>
  <si>
    <t>BUG RATING</t>
  </si>
  <si>
    <t>The BUG classification (Backlight, Uplight, and Glare) according to IDA/IESNA evaluates the light output of outdoor lights regarding to glare, light pollution and light trespass. (standard ANSI/IES TM-15-20)</t>
  </si>
  <si>
    <t>1a808da0-3e8d-4e01-82e5-b299efd4e129</t>
  </si>
  <si>
    <t>1lh0A7J0P1yfpuJvqgOATC</t>
  </si>
  <si>
    <t>BUG Rating of light distribution | EN ID: 04-0019</t>
  </si>
  <si>
    <t>DescriptivePhotometry &gt; LightDistributionBUG-Rating</t>
  </si>
  <si>
    <t>Color Controllable</t>
  </si>
  <si>
    <t>4aab58cd-b2fa-4b44-b302-c9688130b78f</t>
  </si>
  <si>
    <t>2Afk3AuoX0YfhlG9pMfb5q</t>
  </si>
  <si>
    <t>Colour controllable | EN ID: 02-0033</t>
  </si>
  <si>
    <t>ColorControllable</t>
  </si>
  <si>
    <t>be40e1a6-8c91-4342-a071-64b7662a571c</t>
  </si>
  <si>
    <t>2kMc1GwgH1LAnZ1huo7mq_</t>
  </si>
  <si>
    <t>Colour temperature controllable | EN ID: 02-0034</t>
  </si>
  <si>
    <t>DescriptiveAttributes &gt; Electrical &gt; ColorControllable</t>
  </si>
  <si>
    <t>Control Feature</t>
  </si>
  <si>
    <t>955fab94-c73e-4f1e-95f0-e29ff8959660</t>
  </si>
  <si>
    <t>00aw6unKX0ghwxryKRoQm9</t>
  </si>
  <si>
    <t>Control Features | EN ID: 02-0035</t>
  </si>
  <si>
    <t>168db923-41ba-45bf-8bba-f4be48513f4f</t>
  </si>
  <si>
    <t>Ballast-Driver</t>
  </si>
  <si>
    <t>21GF1lrRP4denYC8o6ot$N</t>
  </si>
  <si>
    <t>Control gear | EN ID: 02-0018</t>
  </si>
  <si>
    <t>ControlGears &gt; ControlGear</t>
  </si>
  <si>
    <t>Control Gear Included</t>
  </si>
  <si>
    <t>e18257d2-851e-4b7b-bc8d-41568b0612c0</t>
  </si>
  <si>
    <t>3kZ3CJ9Xb9DBPoZ15k3vIQ</t>
  </si>
  <si>
    <t>Control gear included | EN ID: 02-0020</t>
  </si>
  <si>
    <t>ControlGearReference.Id</t>
  </si>
  <si>
    <t>d5eff05c-2a91-4563-a781-56affb407ba5</t>
  </si>
  <si>
    <t>06Vbbmtwv85QArFTsBPUPQ</t>
  </si>
  <si>
    <t>Control gear required | EN ID: 02-0019</t>
  </si>
  <si>
    <t>ControlGearReference</t>
  </si>
  <si>
    <t>659abcf0-149d-46a1-82ce-bc28c07bbfb0</t>
  </si>
  <si>
    <t>3_eFt0HBf3UgmfsROvHbly</t>
  </si>
  <si>
    <t>Control interface | EN ID: 02-0040</t>
  </si>
  <si>
    <t>DescriptiveAttributes &gt; Electrical &gt; Interfaces</t>
  </si>
  <si>
    <t>bb76a84f-aa9d-4210-94b0-e64a59a20a8e</t>
  </si>
  <si>
    <t>2Oq5QYgMf06gdSXn61YqDa</t>
  </si>
  <si>
    <t>Covering of insulation not allowed | EN ID: 06-0025</t>
  </si>
  <si>
    <t>Angle</t>
  </si>
  <si>
    <t>bc9f8c99-0464-4cde-9dd4-adf886d6ce06</t>
  </si>
  <si>
    <t>0J5hwLgUf4YAvWrE2XCwq4</t>
  </si>
  <si>
    <t>Cut-off angle | EN ID: 04-0033</t>
  </si>
  <si>
    <t>DescriptivePhotometry &gt; CutOffAngle</t>
  </si>
  <si>
    <t>faa77e0b-ce07-416b-970e-f51f128b1b30</t>
  </si>
  <si>
    <t>2C6Bl_wyb9muBfd$Z_MZiE</t>
  </si>
  <si>
    <t>Detection area | EN ID: 05-0002</t>
  </si>
  <si>
    <t>2e06e479-3d4c-4cdd-a310-246664cb2750</t>
  </si>
  <si>
    <t>1nkkOblIH5CxeBDCDq2WyX</t>
  </si>
  <si>
    <t>Detection area adjustable | EN ID: 05-0003</t>
  </si>
  <si>
    <t>Detection Area Radial Movement</t>
  </si>
  <si>
    <t>c04bb4e6-2ad5-4eaf-aad6-370548d08d4d</t>
  </si>
  <si>
    <t>0UxNElgeX5pfCGhydDlPbL</t>
  </si>
  <si>
    <t xml:space="preserve">Detection Area Radial Movement | EN ID: </t>
  </si>
  <si>
    <t>Detection Area Tangential Movement</t>
  </si>
  <si>
    <t>6f941950-0e06-45de-b3a0-fa624cd2f128</t>
  </si>
  <si>
    <t>02qYRg2w1BRufMbYctgnox</t>
  </si>
  <si>
    <t>Detection Area Tangential Movement  | EN ID: 05-0008</t>
  </si>
  <si>
    <t>73b02cc6-c8d8-471c-85dd-d077663e4f95</t>
  </si>
  <si>
    <t>0eq8JpPhf2mxsbyxHgN4rg</t>
  </si>
  <si>
    <t>Detection method | EN ID: 05-0005</t>
  </si>
  <si>
    <t>DescriptiveAttributes &gt; Sensor &gt; DetectionMehtod</t>
  </si>
  <si>
    <t>3c5c337f-0fbc-4e09-80e8-b10840c712b6</t>
  </si>
  <si>
    <t>1MWULf$c11YBSMTdevnV$G</t>
  </si>
  <si>
    <t>Detection Range adjustable | EN ID: 05-0012</t>
  </si>
  <si>
    <t>Detector Characteristics</t>
  </si>
  <si>
    <t>Shape of the detection area.</t>
  </si>
  <si>
    <t>b0e93192-8f01-47de-bf35-7f9991c6fc02</t>
  </si>
  <si>
    <t>2eE6ivKdb3xANg8HGEDFZH</t>
  </si>
  <si>
    <t>Detector Characteristics | EN ID:05-0001</t>
  </si>
  <si>
    <t>DescriptiveAttributes &gt; Sensor &gt; DetectorCharacteristics</t>
  </si>
  <si>
    <t>Dimming Method/Protocol</t>
  </si>
  <si>
    <t>Example:  (Phase Dimming, 0-10V, DMX... etc.)</t>
  </si>
  <si>
    <t>b530286d-a1c4-4c8e-81e3-87b8075d96ad</t>
  </si>
  <si>
    <t>0jGPV_emX0auTlyNQx4grP</t>
  </si>
  <si>
    <t>Dimming method | EN ID: 02-0038</t>
  </si>
  <si>
    <t>Percentage</t>
  </si>
  <si>
    <t>62f1c928-b7e3-496f-9e2d-26a6de767852</t>
  </si>
  <si>
    <t>2SM664IIzBFOlcuHC24iWz</t>
  </si>
  <si>
    <t>Dimming range | EN ID: 02-0039</t>
  </si>
  <si>
    <t>Flicker</t>
  </si>
  <si>
    <t>97e6615f-6252-4ed9-8073-4e10ff5b27b9</t>
  </si>
  <si>
    <t>2EYqu_hCHFEO0cQ_qv5wD$</t>
  </si>
  <si>
    <t>Flicker | EN ID: 04-0042</t>
  </si>
  <si>
    <t>ActivePowerTable &gt; FluxFactor &gt; FlickerPstLM</t>
  </si>
  <si>
    <t xml:space="preserve">Initial Color Tolerance in Step McAdam Ellipses (SCDM)     </t>
  </si>
  <si>
    <t>9eb65ed2-2fc4-4512-9788-46a0bf05be3f</t>
  </si>
  <si>
    <t>1NvFrN1kP1MBnwjfcEtZS9</t>
  </si>
  <si>
    <t>Initial Colour Tolerance in step McAdam ellipses (SCDM)      | EN ID: 04-0030</t>
  </si>
  <si>
    <t>DescriptivePhotometry &gt; ColourInformation &gt; InitialColorTolerance</t>
  </si>
  <si>
    <t>Current</t>
  </si>
  <si>
    <t>b4430633-79ca-4ac5-9b74-94698860b8b6</t>
  </si>
  <si>
    <t>3rfirTJfj9bgIELSX4VRBz</t>
  </si>
  <si>
    <t>Inrush current | EN ID: 02-0025</t>
  </si>
  <si>
    <t>ConstantLightOutputStartPower</t>
  </si>
  <si>
    <t>LED Module Replaceable</t>
  </si>
  <si>
    <t>Yes/No - entire fixture does not need to be replaced</t>
  </si>
  <si>
    <t>1ba13498-6fa6-44f8-989e-dff350b825ce</t>
  </si>
  <si>
    <t>12_LtdVG5DqvZ$R5Y3Ua8I</t>
  </si>
  <si>
    <t>LED module replaceable | EN ID: 02-0061</t>
  </si>
  <si>
    <t>5d673f57-5625-4eec-86d1-232bf852e908</t>
  </si>
  <si>
    <t>1ymgRlSerBqBwALgiHgX7j</t>
  </si>
  <si>
    <t>Measurement method  | EN ID: 05-0011</t>
  </si>
  <si>
    <t>0416214c-cbb5-4dce-85bc-c1d51a24b466</t>
  </si>
  <si>
    <t>3JqWxX_JPBDPKVYVZAezD6</t>
  </si>
  <si>
    <t>Melanopic factor | EN ID: 04-0028</t>
  </si>
  <si>
    <t>DescriptivePhotometry &gt; ColourInformation &gt; MelanopicFactor</t>
  </si>
  <si>
    <t>Electrical nominal current</t>
  </si>
  <si>
    <t>d5d08871-9f84-4310-b7a5-26877939c0e7</t>
  </si>
  <si>
    <t>2oaQ3AOnn40wmt6Zfp6ooy</t>
  </si>
  <si>
    <t>Nominal current | EN ID: 02-0024</t>
  </si>
  <si>
    <t>Frequency</t>
  </si>
  <si>
    <t>6acbe6cd-75fd-4855-95ae-ace53ab87086</t>
  </si>
  <si>
    <t>22IpUkOwD2iOIVugd8CAfb</t>
  </si>
  <si>
    <t>Nominal frequency | EN ID: 02-0027</t>
  </si>
  <si>
    <t>DescriptiveAttributes &gt; Frequency</t>
  </si>
  <si>
    <t>e3d726e7-75e8-4753-8962-cf82a6b1a7d9</t>
  </si>
  <si>
    <t>1PL17P9t53oexZksoRkx7Y</t>
  </si>
  <si>
    <t>Photobiology class (1-3) | EN ID: 04-0037</t>
  </si>
  <si>
    <t>78358258-c1b2-4f15-a488-594d4aa4f1b2</t>
  </si>
  <si>
    <t>2wiaN2gSf0$RFeAF8d_51K</t>
  </si>
  <si>
    <t>Power consumption of the controls | EN ID: 02-0007</t>
  </si>
  <si>
    <t>DescriptiveAttributes &gt; PowerConsumptionControls</t>
  </si>
  <si>
    <t>Power Factor</t>
  </si>
  <si>
    <t>bde8cff9-2162-4d2d-b52a-a0ff1741d33d</t>
  </si>
  <si>
    <t>3LBrQkLDDFheBOxrGk8Zr_</t>
  </si>
  <si>
    <t>Power Factor | EN ID: 02-0003</t>
  </si>
  <si>
    <t>DescriptiveAttributes &gt; Electrical &gt; PowerFactor</t>
  </si>
  <si>
    <t xml:space="preserve">Presence Detection Area </t>
  </si>
  <si>
    <t>0e148639-ed67-4f43-9d8a-50abe7e68627</t>
  </si>
  <si>
    <t>3E7MzAVgHDlBQIdGhHFHL1</t>
  </si>
  <si>
    <t>Presence Detection Area  | EN ID: 05-0010</t>
  </si>
  <si>
    <t>8413f781-2bd2-4e00-90c4-2cf69eb249a4</t>
  </si>
  <si>
    <t>2SIvCAZun4Wxd4khWGmURU</t>
  </si>
  <si>
    <t>Product data sheet | EN ID: 07-0008</t>
  </si>
  <si>
    <t>File.PDF</t>
  </si>
  <si>
    <t>Power</t>
  </si>
  <si>
    <t>65afcc0d-14a2-4347-8749-259228986918</t>
  </si>
  <si>
    <t>0fafA0Xg17xAyphZUB6DEj</t>
  </si>
  <si>
    <t>Radiation power | EN ID: 05-0006</t>
  </si>
  <si>
    <t>6892853b-e608-4230-a4cf-5ec2ebc73c1f</t>
  </si>
  <si>
    <t>2VsGUEC0v62AXkp0i8pFrI</t>
  </si>
  <si>
    <t>Rated chromacity coordinate values | EN ID: 04-0032</t>
  </si>
  <si>
    <t>DescriptivePhotometry &gt; ColourInformation &gt; RatedChromacityCoordinateValues</t>
  </si>
  <si>
    <t>Relative Humidity Range</t>
  </si>
  <si>
    <t>b0888250-71e8-4aac-b6a3-7c36e8731261</t>
  </si>
  <si>
    <t>2Hn3h7rKb0RhRhIOAzSkNR</t>
  </si>
  <si>
    <t>Relative Humidity Range | EN ID: 06-0029</t>
  </si>
  <si>
    <t>Socket Type</t>
  </si>
  <si>
    <t>06bdf7f6-3876-4243-9604-ea0abdf0be14</t>
  </si>
  <si>
    <t>1fBDdf6YP2O8_JFTCLHktp</t>
  </si>
  <si>
    <t>Socket | EN ID: 02-0009</t>
  </si>
  <si>
    <t>ChangeableLightSource &gt; Socket</t>
  </si>
  <si>
    <t>8dd470fb-98b3-4821-bc40-0e36541808f2</t>
  </si>
  <si>
    <t>3bww1seCDA3xO1TXuKRIa5</t>
  </si>
  <si>
    <t>Thickness of ceiling maximum | EN ID: 06-0023</t>
  </si>
  <si>
    <t>78315588-1783-49e3-98d1-810ba7cb00b5</t>
  </si>
  <si>
    <t>2lG7sF6af5sRrHYUSubDNV</t>
  </si>
  <si>
    <t>Thickness of ceiling minimum | EN ID: 06-0022</t>
  </si>
  <si>
    <t>The type of detection
possible for sensing device.</t>
  </si>
  <si>
    <t>6caf5abd-dd67-4ddb-9e37-09177f0e31b9</t>
  </si>
  <si>
    <t>2iV9K3GCTD9AwDRJQ2QaSP</t>
  </si>
  <si>
    <t>Type of detector | EN ID: 05-0004</t>
  </si>
  <si>
    <t>DescriptiveAttributes &gt; Sensor &gt; DetectorType</t>
  </si>
  <si>
    <t>2664ae9d-9c4f-4e4c-ad37-1d0e78331ec0</t>
  </si>
  <si>
    <t>3RRkslNcn3IBFmyVoAyyMc</t>
  </si>
  <si>
    <t>Voltage type (AC, DC, UC) | EN ID: 02-0029</t>
  </si>
  <si>
    <t>DescriptiveAttributes &gt; Electrical &gt; Voltage.Type</t>
  </si>
  <si>
    <t>With Starter</t>
  </si>
  <si>
    <t>Parameter aligns to CEN/TS 17623 of same name</t>
  </si>
  <si>
    <t>The luminaire has a starter</t>
  </si>
  <si>
    <t>6aa8080e-4cfe-4504-ad41-070bde45621e</t>
  </si>
  <si>
    <t>2qdgZ6NbnCfOAJFXNAjkhw</t>
  </si>
  <si>
    <t>With starter | EN ID: 06-0027</t>
  </si>
  <si>
    <t>LED Drive Type</t>
  </si>
  <si>
    <t>Constant Current, Constant Voltage, or not applicable</t>
  </si>
  <si>
    <t>CC, CV, or N/A.</t>
  </si>
  <si>
    <t>60c36216-e435-4e09-9ddf-80c48933de8a</t>
  </si>
  <si>
    <t>Quick Ship</t>
  </si>
  <si>
    <t>Quick ship available</t>
  </si>
  <si>
    <t>57468694-d8a7-4f40-8d81-3adea8969813</t>
  </si>
  <si>
    <t>Quick Ship Terms</t>
  </si>
  <si>
    <t>Quick shipping terms from manufacturer.</t>
  </si>
  <si>
    <t>e9e962f5-6b30-4eb6-a9a7-6ab3d6b0e867</t>
  </si>
  <si>
    <t>EPD Available</t>
  </si>
  <si>
    <t>Environmental product declarations available.</t>
  </si>
  <si>
    <t>9e32e66f-84c9-4f8a-b390-126f594cde40</t>
  </si>
  <si>
    <t>EPD URL</t>
  </si>
  <si>
    <t>Environmental product declarations web URL</t>
  </si>
  <si>
    <t>23460896-bdd0-43e7-85cf-85cb9927bcd6</t>
  </si>
  <si>
    <t>LED Secondary Voltage</t>
  </si>
  <si>
    <t>LED Drive Voltage</t>
  </si>
  <si>
    <t>i.e. 12V, 24V, 48V</t>
  </si>
  <si>
    <t>f94f1a91-dc78-4cc7-a210-d0b242ee1fc4</t>
  </si>
  <si>
    <t>9cfefef9-0589-486e-8f2a-29fa65cbf4f7</t>
  </si>
  <si>
    <t>Emergency Luminous Flux</t>
  </si>
  <si>
    <t>Luminous Flux</t>
  </si>
  <si>
    <t>Lumen output in emergency mode.</t>
  </si>
  <si>
    <t>3ba7512c-0fde-43eb-9a08-63710290c613</t>
  </si>
  <si>
    <t>Projected Life</t>
  </si>
  <si>
    <t>Projected operational hours.</t>
  </si>
  <si>
    <t>Equivalent NEMA Name</t>
  </si>
  <si>
    <t>Equivalent to Light Loss Factor</t>
  </si>
  <si>
    <t>Rated Ambient Temperature</t>
  </si>
  <si>
    <t>Colour Temperature Controllable</t>
  </si>
  <si>
    <t>Control Gear</t>
  </si>
  <si>
    <t>Control Gear Required</t>
  </si>
  <si>
    <t>Control Interface</t>
  </si>
  <si>
    <t>Covering of Insulation Not Allowed</t>
  </si>
  <si>
    <t>Cut-off Angle</t>
  </si>
  <si>
    <t>Detection Area</t>
  </si>
  <si>
    <t>Detection Area Adjustable</t>
  </si>
  <si>
    <t>Detection Method</t>
  </si>
  <si>
    <t>Detection Range Adjustable</t>
  </si>
  <si>
    <t>Dimming Range</t>
  </si>
  <si>
    <t>Inrush Current</t>
  </si>
  <si>
    <t xml:space="preserve">Measurement Method </t>
  </si>
  <si>
    <t>Melanopic Factor</t>
  </si>
  <si>
    <t>Nominal Current</t>
  </si>
  <si>
    <t>Nominal Frequency</t>
  </si>
  <si>
    <t>Photobiology Class (1-3)</t>
  </si>
  <si>
    <t>Power Consumption of the Controls</t>
  </si>
  <si>
    <t>Product Data Sheet</t>
  </si>
  <si>
    <t>Radiation Power</t>
  </si>
  <si>
    <t>Rated Chromaticity Coordinate Values</t>
  </si>
  <si>
    <t>Thickness of Ceiling Maximum</t>
  </si>
  <si>
    <t>Thickness of Ceiling Minimum</t>
  </si>
  <si>
    <t>Type of Detector</t>
  </si>
  <si>
    <t>Voltage Type (AC, DC, UC)</t>
  </si>
  <si>
    <t>CCT.  Correlated color temperature of the light source, in kelvins (e.g., 4500 K)</t>
  </si>
  <si>
    <t>The electrical current multiplied by the voltage in AC systems. Measured in VA (volt-amperes).</t>
  </si>
  <si>
    <t>A device that emits optical radiation within the wavelength range of 380 nm to 780 nm (that is, visible light).</t>
  </si>
  <si>
    <t>Length of the housing of the luminaire or sensing device. Corresponds to y-axis. This definition is regardless of orientation of luminaires.</t>
  </si>
  <si>
    <t>Minimum or maximum ambient air temperature</t>
  </si>
  <si>
    <t>How fixture is sealed to prevent water penetration</t>
  </si>
  <si>
    <t>Example: general description of controls for luminaire, toggle switch, keypad, etc.</t>
  </si>
  <si>
    <t>The color appearance of the light produced by the light source, expressed on the Kelvin scale (K).</t>
  </si>
  <si>
    <t>Measured in volt-amperes (VA).</t>
  </si>
  <si>
    <t xml:space="preserve">Also known as "lamp" </t>
  </si>
  <si>
    <t>Nominal Voltage is not the precise operating or rated voltage.</t>
  </si>
  <si>
    <t>Luminaire name or brand name of product.</t>
  </si>
  <si>
    <t>Not explicit in GLDF - but can be calculated</t>
  </si>
  <si>
    <t>Width of the housing of the luminaire or sensing device. Width is set parallel to the C0-
C180 plane. Corresponds to the x-axis and with 0° horizontal of the Light Distribution Curve. This definition is regardless of orientation of luminaires.</t>
  </si>
  <si>
    <t>Width of the simple geometry OR descriptive using ProductSize</t>
  </si>
  <si>
    <t>Three-dimensional simplified shape of luminaire or sensing
device.</t>
  </si>
  <si>
    <t>Required minimum installation depth, height of the invisible / hidden mounting part of the luminaire (for recessed or flush mount).</t>
  </si>
  <si>
    <t>Overall Diameter of the housing of the luminaire or sensing device.</t>
  </si>
  <si>
    <t>Height of the housing of the luminaire or sensing device. Corresponds to z-axis.
This definition is regardless of orientation of luminaires.</t>
  </si>
  <si>
    <t>Width of the housing of the luminaire or sensing device. Width is set parallel to the C0- C180 plane. Corresponds to the x-axis and with 0° horizontal of the Light
Distribution Curve. This definition is regardless of orientation of luminaires.</t>
  </si>
  <si>
    <t>Width is parallel to the C0- C180 plane. Aligned with the X axis and with 0° horizontal</t>
  </si>
  <si>
    <t>Indicates whether emergency lighting is integral.</t>
  </si>
  <si>
    <t>Product type for an application of the emergency lighting. Dedicated to emergency luminaires only</t>
  </si>
  <si>
    <t>Type of mounting used for the luminaire or sensing device.</t>
  </si>
  <si>
    <t>Access required for maintenance of this item</t>
  </si>
  <si>
    <t>Access required for maintenance of this item.</t>
  </si>
  <si>
    <t>The lamp lumen maintenance factor is the ratio of luminous flux at a specific time compared to a new light source. It is describing the aging of the light source or the reduction of light intensity over time.</t>
  </si>
  <si>
    <t xml:space="preserve">The ratio of the luminaires luminous flux
before and after cleaning. It is presented as a table of environmental conditions
depending on the cleaning period of the luminaire. </t>
  </si>
  <si>
    <t>States whether the luminaire is supplied with light source</t>
  </si>
  <si>
    <t>Determines whether the luminaire is suitable for through wiring with the
indication of the maximum current.</t>
  </si>
  <si>
    <t>Determines whether the product involves connecting cable.</t>
  </si>
  <si>
    <t>Determines whether the luminaire has a dimmer included.</t>
  </si>
  <si>
    <t>Determines whether the luminaire includes a power plug.</t>
  </si>
  <si>
    <t>Determines whether the luminaire contains an integrated sensing device.</t>
  </si>
  <si>
    <t>Determines whether the luminaire has a switch included.</t>
  </si>
  <si>
    <t>Diameter of the cut-out hole (for recessed or flush mount).</t>
  </si>
  <si>
    <t>Length of the cut-out hole (for recessed or flush mount).</t>
  </si>
  <si>
    <t>Width of the cut-out hole (for recessed or flush mount).</t>
  </si>
  <si>
    <t>Ampre-hours</t>
  </si>
  <si>
    <t>Light source type of an additional separate emergency light source within
the luminaire.</t>
  </si>
  <si>
    <t>Indicates if emergency lighting is integrated. Combined luminaire for
standard and emergency lighting with one or multiple Light Distribution Curves.</t>
  </si>
  <si>
    <t>Burn in time for the used light source technology.</t>
  </si>
  <si>
    <t>The lamp survival factor depends on the service lifetime of a light source. LSF=1 is saying that there will be no loss of light
because of light source failure.</t>
  </si>
  <si>
    <t>Acoustic absorption in average over the audible range.</t>
  </si>
  <si>
    <t>The sound absorption coefficient (ISO 354:2003) presented in table depending
on frequencies in the human hearable range.</t>
  </si>
  <si>
    <t>Number of plane surfaces with light output.</t>
  </si>
  <si>
    <t>States whether the product is halogen-free according IEC 61249-2-21:2004.</t>
  </si>
  <si>
    <t>Describes the minimum required distance of the luminaire housing to other objects.</t>
  </si>
  <si>
    <t>Material of the sealing of a luminaire.</t>
  </si>
  <si>
    <t>Height of the packed luminaire or sensing device as it is shipped.</t>
  </si>
  <si>
    <t>Length of the packed luminaire or sensing device as it is shipped.</t>
  </si>
  <si>
    <t>Weight of the shipping package of the luminaire or sensing device.</t>
  </si>
  <si>
    <t>Width of the packed luminaire or sensing device as it is shipped.</t>
  </si>
  <si>
    <t>States whether the luminaire is silicon-free.</t>
  </si>
  <si>
    <t>Average temperature of light emitting surface of a luminaire.</t>
  </si>
  <si>
    <t>Weight of the luminaire or sensing device.</t>
  </si>
  <si>
    <t>Specific application class for ground recessed luminaries according temperature limits, dimensions and static load resistance in kN according to EN 60598-2-13:2017.</t>
  </si>
  <si>
    <t>Determines the amount of addresses of the product.</t>
  </si>
  <si>
    <t>States whether the color is controllable</t>
  </si>
  <si>
    <t>States if the colour temperature is controllable.</t>
  </si>
  <si>
    <t>Description of Control Elements and Features.</t>
  </si>
  <si>
    <t>Type of control gear, which is required to control the electrical operation of the light source(s).</t>
  </si>
  <si>
    <t>Shipped with or without ballast.</t>
  </si>
  <si>
    <t>States if control gear is necessary.</t>
  </si>
  <si>
    <t>Determines which communication or control interface is indicated for the luminaire or sensing device.</t>
  </si>
  <si>
    <t>Covering of Insulation in a ceiling is not allowed for the luminaire.</t>
  </si>
  <si>
    <t>Angle, measured up from nadir, between the vertical axis and the first line of sight at which the light sources and the surfaces of high luminance are not visible. If the beam is not rotation symmetrical the photometric plane needs to specified.</t>
  </si>
  <si>
    <t>Defines the detection angle or the detection area for the standard mounting height. For round area: the angular range from 1° to 360° and radius [m]. For rectangular area: L x W [m].</t>
  </si>
  <si>
    <t>The type of the adjustment of the detection area.</t>
  </si>
  <si>
    <t>Detection area for walking for the standard mounting height. For round area: the angular range from 1° to 360° and radius [m]. For rectangular area: L x W [m].</t>
  </si>
  <si>
    <t>Applied technology for detection</t>
  </si>
  <si>
    <t>The method of adjustment of detection range.</t>
  </si>
  <si>
    <t>Determines which dimmer type is applicable for the luminaire.</t>
  </si>
  <si>
    <t>Determines which range of dimming is possible for luminaire.</t>
  </si>
  <si>
    <t>Impression of unsteadiness of visual sensation induced by a light stimulus whose luminance or spectral distribution
fluctuates with time.</t>
  </si>
  <si>
    <t>Initial Color Tolerance in step McAdam ellipses (SDCM).</t>
  </si>
  <si>
    <t>Initial current after turning on. Base for quantity of luminaires per fuse or similar.</t>
  </si>
  <si>
    <t>led module replaceable</t>
  </si>
  <si>
    <t>The measurement of the presence detection area was done according to standard</t>
  </si>
  <si>
    <t>Melanopic factor of luminous radiation daylight equivalent based on CIE standard illuminant D65. See also CEN/TR 16791:2017.</t>
  </si>
  <si>
    <t>Nominal frequency at which the product operates normally as specified by the supplier or manufacturer.</t>
  </si>
  <si>
    <t>The required measurement methods and the calculation methodology are set in the harmonized standard EN 62471:2009, Photobiological safety of lamps and lamp
systems“. Sources are classified based on hazard of incoherent optical radiation.</t>
  </si>
  <si>
    <t>Power consumption of the detector with the light switched off and without motion detection / presence detection (idle state).</t>
  </si>
  <si>
    <t>Ratio of the amount of the active power to the apparent power at 100% load. See also IEC 80000-6:2008.</t>
  </si>
  <si>
    <t>Detection area for minor movement for the standard mounting height. For round area: the angular range from 1° to 360° and radius [m]. For rectangular area: L x W [m]</t>
  </si>
  <si>
    <t>product data sheet</t>
  </si>
  <si>
    <t>radiation power</t>
  </si>
  <si>
    <t>Chromaticity coordinates ratio of a set of 3 tristimulus values to their sum according ISO 11664-1:2007. 2 values are sufficient to define chromaticity.  CIE colorimetric systems represent these with the symbols x, y, z and x10, y10, z10.</t>
  </si>
  <si>
    <t>The relative humidity of environment that enables product to function.</t>
  </si>
  <si>
    <t>A device which mechanically supports and provides electrical connections for a
compatible electric light source. See also
IEC60061:2018.</t>
  </si>
  <si>
    <t>The maximum thickness of the ceiling for recessed installation</t>
  </si>
  <si>
    <t>The minimum thickness of the ceiling for recessed or flush mount.</t>
  </si>
  <si>
    <t>AC Alternating Current / DC Direct Current / UC Universal Current (Alternating or Direct Current).</t>
  </si>
  <si>
    <t>Power consumed by the light source(s), control
gear, and control circuit in or associated with a luminaire including any standby power when the luminaire is turned on.</t>
  </si>
  <si>
    <t>Voltage at which the product operates normally as specified by the supplier or manufacturer.</t>
  </si>
  <si>
    <t>Height of the housing of the luminaire or sensing device. Corresponds to z-axis. This definition is regardless of orientation of luminaires.</t>
  </si>
  <si>
    <t>Europe - Escape route or anti-panic means of egress, egrees</t>
  </si>
  <si>
    <t xml:space="preserve">The ratio of the luminaires luminous flux before and after cleaning. It is presented as a table of environmental conditions depending on the cleaning period of the luminaire. </t>
  </si>
  <si>
    <t>Determines whether the luminaire is suitable for through wiring with the indication of the maximum current.</t>
  </si>
  <si>
    <t>Determines whether the luminaire contains an
integrated sensing device.</t>
  </si>
  <si>
    <t>Indicates if emergency lighting is integrated.
Combined luminaire for standard and emergency lighting with one or multiple Light Distribution Curves.</t>
  </si>
  <si>
    <t>Burn in time for the used light source technology. Useful for maintenance, also for initial failure detection</t>
  </si>
  <si>
    <t>The lamp survival factor depends on the service lifetime of a light source. LSF=1 is saying that there will be no loss of light because of light source failure. Also relates to older lamp technology, 100 - % of lamps that are likely to fail early, (attic stock determination)</t>
  </si>
  <si>
    <t>The sound absorption coefficient (ISO 354:2003) presented in table depending on frequencies in the human hearable range.</t>
  </si>
  <si>
    <t>States whether the color is controllable. E.g. tunable whites or color changing.</t>
  </si>
  <si>
    <t>Angle, measured up from nadir, between the vertical axis and the first line of sight at which
the light sources and the surfaces of high luminance are not visible. If the beam is not rotation symmetrical the photometric plane needs to specified.</t>
  </si>
  <si>
    <t>Detection area for walking for the standard mounting height. For round area: the angular
range from 1° to 360° and radius [m]. For rectangular area: L x W [m].</t>
  </si>
  <si>
    <t>Impression of unsteadiness of visual sensation induced by a light stimulus whose luminance
or spectral distribution fluctuates with time.</t>
  </si>
  <si>
    <t>Melanopic factor of luminous radiation daylight equivalent based on CIE standard
illuminant D65. See also CEN/TR 16791:2017.</t>
  </si>
  <si>
    <t>The required measurement methods and the calculation methodology are set in the harmonized standard EN 62471:2009, Photobiological safety of lamps and lamp systems“. Sources are classified based on hazard of incoherent optical radiation.</t>
  </si>
  <si>
    <t>Chromaticity coordinates ratio of a set of 3
tristimulus values to their sum according ISO 11664-1:2007. 2 values are sufficient to define
chromaticity.  CIE colorimetric systems represent these with the symbols x, y, z and x10, y10, z10.</t>
  </si>
  <si>
    <t>A device which mechanically supports and provides electrical connections for a compatible electric light source. See also
IEC60061:2018.</t>
  </si>
  <si>
    <t>The type of detection possible for sensing device.</t>
  </si>
  <si>
    <t>o = Built-in, with exceptions</t>
  </si>
  <si>
    <t>y = Built-in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</si>
</sst>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1"/>
      <color theme="1"/>
      <name val="Calibri"/>
      <family val="2"/>
      <scheme val="minor"/>
    </font>
    <font>
      <sz val="11"/>
      <color rgb="FF3F3F76"/>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000000"/>
      <name val="Calibri"/>
      <family val="2"/>
      <scheme val="minor"/>
    </font>
    <font>
      <b/>
      <sz val="11"/>
      <color rgb="FF000000"/>
      <name val="Calibri"/>
      <family val="2"/>
      <scheme val="minor"/>
    </font>
    <font>
      <sz val="11"/>
      <name val="Calibri"/>
      <family val="2"/>
      <scheme val="minor"/>
    </font>
    <font>
      <b/>
      <sz val="11"/>
      <name val="Calibri"/>
      <family val="2"/>
      <scheme val="minor"/>
    </font>
    <font>
      <strike/>
      <sz val="11"/>
      <name val="Calibri"/>
      <family val="2"/>
      <scheme val="minor"/>
    </font>
  </fonts>
  <fills count="43">
    <fill>
      <patternFill patternType="none"/>
    </fill>
    <fill>
      <patternFill patternType="gray125"/>
    </fill>
    <fill>
      <patternFill patternType="solid">
        <fgColor rgb="FFFFCC99"/>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2EFDA"/>
        <bgColor indexed="64"/>
      </patternFill>
    </fill>
    <fill>
      <patternFill patternType="solid">
        <fgColor theme="9" tint="0.79998168889431442"/>
        <bgColor indexed="64"/>
      </patternFill>
    </fill>
    <fill>
      <patternFill patternType="solid">
        <fgColor rgb="FFD9E1F2"/>
        <bgColor indexed="64"/>
      </patternFill>
    </fill>
    <fill>
      <patternFill patternType="solid">
        <fgColor rgb="FFA9D08E"/>
        <bgColor indexed="64"/>
      </patternFill>
    </fill>
    <fill>
      <patternFill patternType="solid">
        <fgColor rgb="FFFFE699"/>
        <bgColor indexed="64"/>
      </patternFill>
    </fill>
    <fill>
      <patternFill patternType="solid">
        <fgColor rgb="FFFFF2CC"/>
        <bgColor indexed="64"/>
      </patternFill>
    </fill>
    <fill>
      <patternFill patternType="solid">
        <fgColor rgb="FF8EA9DB"/>
        <bgColor indexed="64"/>
      </patternFill>
    </fill>
    <fill>
      <patternFill patternType="solid">
        <fgColor rgb="FFFCE4D6"/>
        <bgColor indexed="64"/>
      </patternFill>
    </fill>
    <fill>
      <patternFill patternType="solid">
        <fgColor rgb="FFED7D31"/>
        <bgColor indexed="64"/>
      </patternFill>
    </fill>
    <fill>
      <patternFill patternType="solid">
        <fgColor theme="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theme="0"/>
      </bottom>
      <diagonal/>
    </border>
    <border>
      <left/>
      <right/>
      <top style="thin">
        <color theme="0"/>
      </top>
      <bottom/>
      <diagonal/>
    </border>
  </borders>
  <cellStyleXfs count="42">
    <xf numFmtId="0" fontId="0" fillId="0" borderId="0"/>
    <xf numFmtId="0" fontId="2" fillId="2" borderId="2" applyNumberFormat="0" applyAlignment="0" applyProtection="0"/>
    <xf numFmtId="0" fontId="4" fillId="0" borderId="0" applyNumberFormat="0" applyFill="0" applyBorder="0" applyAlignment="0" applyProtection="0"/>
    <xf numFmtId="0" fontId="5" fillId="0" borderId="3" applyNumberFormat="0" applyFill="0" applyAlignment="0" applyProtection="0"/>
    <xf numFmtId="0" fontId="6" fillId="0" borderId="4" applyNumberFormat="0" applyFill="0" applyAlignment="0" applyProtection="0"/>
    <xf numFmtId="0" fontId="7" fillId="0" borderId="5" applyNumberFormat="0" applyFill="0" applyAlignment="0" applyProtection="0"/>
    <xf numFmtId="0" fontId="7" fillId="0" borderId="0" applyNumberFormat="0" applyFill="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6" applyNumberFormat="0" applyAlignment="0" applyProtection="0"/>
    <xf numFmtId="0" fontId="12" fillId="6" borderId="2"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3" fillId="8" borderId="9" applyNumberFormat="0" applyFont="0" applyAlignment="0" applyProtection="0"/>
    <xf numFmtId="0" fontId="16" fillId="0" borderId="0" applyNumberFormat="0" applyFill="0" applyBorder="0" applyAlignment="0" applyProtection="0"/>
    <xf numFmtId="0" fontId="1" fillId="0" borderId="10"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cellStyleXfs>
  <cellXfs count="70">
    <xf numFmtId="0" fontId="0" fillId="0" borderId="0" xfId="0"/>
    <xf numFmtId="0" fontId="0" fillId="0" borderId="1" xfId="0" applyBorder="1" applyAlignment="1">
      <alignment vertical="top" wrapText="1"/>
    </xf>
    <xf numFmtId="0" fontId="0" fillId="34" borderId="1" xfId="0" applyFill="1" applyBorder="1" applyAlignment="1">
      <alignment vertical="top" wrapText="1"/>
    </xf>
    <xf numFmtId="0" fontId="0" fillId="33" borderId="1" xfId="0" applyFill="1" applyBorder="1" applyAlignment="1">
      <alignment vertical="top" wrapText="1"/>
    </xf>
    <xf numFmtId="0" fontId="18" fillId="38" borderId="1" xfId="9" applyFont="1" applyFill="1" applyBorder="1" applyAlignment="1">
      <alignment vertical="top" wrapText="1"/>
    </xf>
    <xf numFmtId="0" fontId="0" fillId="38" borderId="1" xfId="15" applyFont="1" applyFill="1" applyBorder="1" applyAlignment="1">
      <alignment vertical="top" wrapText="1"/>
    </xf>
    <xf numFmtId="0" fontId="0" fillId="35" borderId="1" xfId="0" applyFill="1" applyBorder="1" applyAlignment="1">
      <alignment vertical="top" wrapText="1"/>
    </xf>
    <xf numFmtId="0" fontId="0" fillId="40" borderId="1" xfId="0" applyFill="1" applyBorder="1" applyAlignment="1">
      <alignment vertical="top" wrapText="1"/>
    </xf>
    <xf numFmtId="0" fontId="0" fillId="40" borderId="1" xfId="0" applyFill="1" applyBorder="1" applyAlignment="1">
      <alignment horizontal="center" vertical="top" wrapText="1"/>
    </xf>
    <xf numFmtId="0" fontId="18" fillId="0" borderId="1" xfId="0" applyFont="1" applyBorder="1" applyAlignment="1">
      <alignment vertical="top" wrapText="1"/>
    </xf>
    <xf numFmtId="0" fontId="20" fillId="40" borderId="1" xfId="0" applyFont="1" applyFill="1" applyBorder="1" applyAlignment="1">
      <alignment vertical="top" wrapText="1"/>
    </xf>
    <xf numFmtId="0" fontId="20" fillId="35" borderId="1" xfId="0" applyFont="1" applyFill="1" applyBorder="1" applyAlignment="1">
      <alignment vertical="top" wrapText="1"/>
    </xf>
    <xf numFmtId="0" fontId="20" fillId="35" borderId="0" xfId="0" applyFont="1" applyFill="1" applyAlignment="1">
      <alignment vertical="top" wrapText="1"/>
    </xf>
    <xf numFmtId="0" fontId="20" fillId="0" borderId="13" xfId="0" applyFont="1" applyFill="1" applyBorder="1" applyAlignment="1">
      <alignment vertical="top" wrapText="1"/>
    </xf>
    <xf numFmtId="0" fontId="19" fillId="40" borderId="16" xfId="0" applyFont="1" applyFill="1" applyBorder="1" applyAlignment="1">
      <alignment vertical="top" wrapText="1"/>
    </xf>
    <xf numFmtId="0" fontId="19" fillId="40" borderId="16" xfId="0" applyFont="1" applyFill="1" applyBorder="1" applyAlignment="1">
      <alignment horizontal="center" vertical="top" wrapText="1"/>
    </xf>
    <xf numFmtId="0" fontId="19" fillId="35" borderId="16" xfId="0" applyFont="1" applyFill="1" applyBorder="1" applyAlignment="1">
      <alignment vertical="top" wrapText="1"/>
    </xf>
    <xf numFmtId="0" fontId="19" fillId="33" borderId="16" xfId="0" applyFont="1" applyFill="1" applyBorder="1" applyAlignment="1">
      <alignment vertical="top" wrapText="1"/>
    </xf>
    <xf numFmtId="0" fontId="19" fillId="34" borderId="16" xfId="0" applyFont="1" applyFill="1" applyBorder="1" applyAlignment="1">
      <alignment vertical="top" wrapText="1"/>
    </xf>
    <xf numFmtId="0" fontId="18" fillId="38" borderId="16" xfId="9" applyFont="1" applyFill="1" applyBorder="1" applyAlignment="1">
      <alignment vertical="top" wrapText="1"/>
    </xf>
    <xf numFmtId="0" fontId="19" fillId="38" borderId="18" xfId="15" applyFont="1" applyFill="1" applyBorder="1" applyAlignment="1">
      <alignment vertical="top" wrapText="1"/>
    </xf>
    <xf numFmtId="0" fontId="0" fillId="0" borderId="16" xfId="0" applyBorder="1" applyAlignment="1">
      <alignment vertical="top" wrapText="1"/>
    </xf>
    <xf numFmtId="0" fontId="0" fillId="40" borderId="16" xfId="0" applyFill="1" applyBorder="1" applyAlignment="1">
      <alignment vertical="top" wrapText="1"/>
    </xf>
    <xf numFmtId="0" fontId="0" fillId="40" borderId="16" xfId="0" applyFill="1" applyBorder="1" applyAlignment="1">
      <alignment horizontal="center" vertical="top" wrapText="1"/>
    </xf>
    <xf numFmtId="0" fontId="0" fillId="35" borderId="16" xfId="0" applyFill="1" applyBorder="1" applyAlignment="1">
      <alignment vertical="top" wrapText="1"/>
    </xf>
    <xf numFmtId="0" fontId="0" fillId="33" borderId="16" xfId="0" applyFill="1" applyBorder="1" applyAlignment="1">
      <alignment vertical="top" wrapText="1"/>
    </xf>
    <xf numFmtId="0" fontId="0" fillId="34" borderId="16" xfId="0" applyFill="1" applyBorder="1" applyAlignment="1">
      <alignment vertical="top" wrapText="1"/>
    </xf>
    <xf numFmtId="0" fontId="0" fillId="38" borderId="16" xfId="15" applyFont="1" applyFill="1" applyBorder="1" applyAlignment="1">
      <alignment vertical="top" wrapText="1"/>
    </xf>
    <xf numFmtId="0" fontId="19" fillId="42" borderId="17" xfId="0" applyFont="1" applyFill="1" applyBorder="1" applyAlignment="1">
      <alignment horizontal="center" vertical="top" wrapText="1"/>
    </xf>
    <xf numFmtId="0" fontId="19" fillId="42" borderId="16" xfId="0" applyFont="1" applyFill="1" applyBorder="1" applyAlignment="1">
      <alignment vertical="top" wrapText="1"/>
    </xf>
    <xf numFmtId="0" fontId="21" fillId="42" borderId="16" xfId="0" applyFont="1" applyFill="1" applyBorder="1" applyAlignment="1">
      <alignment vertical="top" wrapText="1"/>
    </xf>
    <xf numFmtId="0" fontId="0" fillId="0" borderId="19" xfId="0" applyBorder="1" applyAlignment="1">
      <alignment vertical="top" wrapText="1"/>
    </xf>
    <xf numFmtId="0" fontId="18" fillId="0" borderId="17" xfId="0" applyFont="1" applyBorder="1" applyAlignment="1">
      <alignment vertical="top" wrapText="1"/>
    </xf>
    <xf numFmtId="0" fontId="20" fillId="35" borderId="1" xfId="0" applyFont="1" applyFill="1" applyBorder="1" applyAlignment="1">
      <alignment wrapText="1"/>
    </xf>
    <xf numFmtId="0" fontId="20" fillId="0" borderId="13" xfId="0" applyFont="1" applyBorder="1" applyAlignment="1">
      <alignment vertical="top" wrapText="1"/>
    </xf>
    <xf numFmtId="0" fontId="20" fillId="0" borderId="1" xfId="0" applyFont="1" applyBorder="1" applyAlignment="1">
      <alignment vertical="top" wrapText="1"/>
    </xf>
    <xf numFmtId="0" fontId="20" fillId="40" borderId="1" xfId="0" applyFont="1" applyFill="1" applyBorder="1" applyAlignment="1">
      <alignment horizontal="center" vertical="top" wrapText="1"/>
    </xf>
    <xf numFmtId="0" fontId="20" fillId="33" borderId="1" xfId="0" applyFont="1" applyFill="1" applyBorder="1" applyAlignment="1">
      <alignment vertical="top" wrapText="1"/>
    </xf>
    <xf numFmtId="0" fontId="20" fillId="34" borderId="1" xfId="0" applyFont="1" applyFill="1" applyBorder="1" applyAlignment="1">
      <alignment vertical="top" wrapText="1"/>
    </xf>
    <xf numFmtId="0" fontId="20" fillId="38" borderId="1" xfId="9" applyFont="1" applyFill="1" applyBorder="1" applyAlignment="1">
      <alignment vertical="top" wrapText="1"/>
    </xf>
    <xf numFmtId="0" fontId="20" fillId="38" borderId="11" xfId="15" applyFont="1" applyFill="1" applyBorder="1" applyAlignment="1">
      <alignment vertical="top" wrapText="1"/>
    </xf>
    <xf numFmtId="0" fontId="20" fillId="0" borderId="15" xfId="0" applyFont="1" applyBorder="1" applyAlignment="1">
      <alignment vertical="top" wrapText="1"/>
    </xf>
    <xf numFmtId="0" fontId="20" fillId="0" borderId="11" xfId="0" applyFont="1" applyBorder="1" applyAlignment="1">
      <alignment vertical="top" wrapText="1"/>
    </xf>
    <xf numFmtId="0" fontId="20" fillId="0" borderId="14" xfId="0" applyFont="1" applyBorder="1" applyAlignment="1">
      <alignment vertical="top" wrapText="1"/>
    </xf>
    <xf numFmtId="0" fontId="20" fillId="0" borderId="14" xfId="0" applyFont="1" applyBorder="1" applyAlignment="1">
      <alignment wrapText="1"/>
    </xf>
    <xf numFmtId="0" fontId="20" fillId="40" borderId="13" xfId="0" applyFont="1" applyFill="1" applyBorder="1" applyAlignment="1">
      <alignment vertical="top" wrapText="1"/>
    </xf>
    <xf numFmtId="0" fontId="20" fillId="0" borderId="16" xfId="0" applyFont="1" applyBorder="1" applyAlignment="1">
      <alignment vertical="top" wrapText="1"/>
    </xf>
    <xf numFmtId="0" fontId="20" fillId="38" borderId="11" xfId="9" applyFont="1" applyFill="1" applyBorder="1" applyAlignment="1">
      <alignment vertical="top" wrapText="1"/>
    </xf>
    <xf numFmtId="0" fontId="22" fillId="40" borderId="1" xfId="0" applyFont="1" applyFill="1" applyBorder="1" applyAlignment="1">
      <alignment horizontal="center" vertical="top" wrapText="1"/>
    </xf>
    <xf numFmtId="0" fontId="20" fillId="35" borderId="15" xfId="0" applyFont="1" applyFill="1" applyBorder="1" applyAlignment="1">
      <alignment vertical="top" wrapText="1"/>
    </xf>
    <xf numFmtId="0" fontId="20" fillId="35" borderId="14" xfId="0" applyFont="1" applyFill="1" applyBorder="1" applyAlignment="1">
      <alignment vertical="top" wrapText="1"/>
    </xf>
    <xf numFmtId="11" fontId="20" fillId="35" borderId="1" xfId="0" applyNumberFormat="1" applyFont="1" applyFill="1" applyBorder="1" applyAlignment="1">
      <alignment vertical="top" wrapText="1"/>
    </xf>
    <xf numFmtId="0" fontId="20" fillId="0" borderId="0" xfId="0" applyFont="1" applyAlignment="1">
      <alignment wrapText="1"/>
    </xf>
    <xf numFmtId="0" fontId="20" fillId="42" borderId="20" xfId="0" applyFont="1" applyFill="1" applyBorder="1" applyAlignment="1">
      <alignment vertical="top" wrapText="1"/>
    </xf>
    <xf numFmtId="0" fontId="20" fillId="42" borderId="20" xfId="9" applyFont="1" applyFill="1" applyBorder="1" applyAlignment="1">
      <alignment vertical="top" wrapText="1"/>
    </xf>
    <xf numFmtId="0" fontId="20" fillId="42" borderId="20" xfId="15" applyFont="1" applyFill="1" applyBorder="1" applyAlignment="1">
      <alignment vertical="top" wrapText="1"/>
    </xf>
    <xf numFmtId="0" fontId="0" fillId="42" borderId="20" xfId="0" applyFill="1" applyBorder="1" applyAlignment="1">
      <alignment vertical="top" wrapText="1"/>
    </xf>
    <xf numFmtId="0" fontId="20" fillId="42" borderId="21" xfId="0" applyFont="1" applyFill="1" applyBorder="1" applyAlignment="1">
      <alignment vertical="top" wrapText="1"/>
    </xf>
    <xf numFmtId="0" fontId="20" fillId="42" borderId="21" xfId="9" applyFont="1" applyFill="1" applyBorder="1" applyAlignment="1">
      <alignment vertical="top" wrapText="1"/>
    </xf>
    <xf numFmtId="0" fontId="20" fillId="42" borderId="21" xfId="15" applyFont="1" applyFill="1" applyBorder="1" applyAlignment="1">
      <alignment vertical="top" wrapText="1"/>
    </xf>
    <xf numFmtId="0" fontId="0" fillId="42" borderId="21" xfId="0" applyFill="1" applyBorder="1" applyAlignment="1">
      <alignment vertical="top" wrapText="1"/>
    </xf>
    <xf numFmtId="0" fontId="20" fillId="42" borderId="20" xfId="0" applyFont="1" applyFill="1" applyBorder="1" applyAlignment="1">
      <alignment horizontal="left" vertical="top"/>
    </xf>
    <xf numFmtId="0" fontId="20" fillId="42" borderId="21" xfId="0" applyFont="1" applyFill="1" applyBorder="1" applyAlignment="1">
      <alignment horizontal="left" vertical="top"/>
    </xf>
    <xf numFmtId="0" fontId="19" fillId="0" borderId="1" xfId="0" applyFont="1" applyBorder="1" applyAlignment="1">
      <alignment horizontal="center" vertical="top" wrapText="1"/>
    </xf>
    <xf numFmtId="0" fontId="19" fillId="39" borderId="1" xfId="0" applyFont="1" applyFill="1" applyBorder="1" applyAlignment="1">
      <alignment horizontal="center" vertical="top" wrapText="1"/>
    </xf>
    <xf numFmtId="0" fontId="19" fillId="36" borderId="1" xfId="0" applyFont="1" applyFill="1" applyBorder="1" applyAlignment="1">
      <alignment horizontal="center" vertical="top" wrapText="1"/>
    </xf>
    <xf numFmtId="0" fontId="19" fillId="37" borderId="1" xfId="0" applyFont="1" applyFill="1" applyBorder="1" applyAlignment="1">
      <alignment horizontal="center" vertical="top" wrapText="1"/>
    </xf>
    <xf numFmtId="0" fontId="19" fillId="41" borderId="11" xfId="0" applyFont="1" applyFill="1" applyBorder="1" applyAlignment="1">
      <alignment horizontal="center" vertical="top" wrapText="1"/>
    </xf>
    <xf numFmtId="0" fontId="19" fillId="41" borderId="12" xfId="0" applyFont="1" applyFill="1" applyBorder="1" applyAlignment="1">
      <alignment horizontal="center" vertical="top" wrapText="1"/>
    </xf>
    <xf numFmtId="0" fontId="19" fillId="41" borderId="13" xfId="0" applyFont="1" applyFill="1" applyBorder="1" applyAlignment="1">
      <alignment horizontal="center"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8" builtinId="27" customBuiltin="1"/>
    <cellStyle name="Calculation" xfId="11" builtinId="22" customBuiltin="1"/>
    <cellStyle name="Check Cell" xfId="13" builtinId="23" customBuiltin="1"/>
    <cellStyle name="Explanatory Text" xfId="16"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 builtinId="20" customBuiltin="1"/>
    <cellStyle name="Linked Cell" xfId="12" builtinId="24" customBuiltin="1"/>
    <cellStyle name="Neutral" xfId="9" builtinId="28" customBuiltin="1"/>
    <cellStyle name="Normal" xfId="0" builtinId="0"/>
    <cellStyle name="Note" xfId="15" builtinId="10" customBuiltin="1"/>
    <cellStyle name="Output" xfId="10" builtinId="21" customBuiltin="1"/>
    <cellStyle name="Title" xfId="2" builtinId="15" customBuiltin="1"/>
    <cellStyle name="Total" xfId="17" builtinId="25" customBuiltin="1"/>
    <cellStyle name="Warning Text" xfId="14" builtinId="11" customBuiltin="1"/>
  </cellStyles>
  <dxfs count="20">
    <dxf>
      <font>
        <b val="0"/>
        <i val="0"/>
        <strike val="0"/>
        <condense val="0"/>
        <extend val="0"/>
        <outline val="0"/>
        <shadow val="0"/>
        <u val="none"/>
        <vertAlign val="baseline"/>
        <sz val="11"/>
        <color auto="1"/>
        <name val="Calibri"/>
        <family val="2"/>
        <scheme val="minor"/>
      </font>
      <fill>
        <patternFill patternType="solid">
          <fgColor indexed="64"/>
          <bgColor rgb="FFFFF2CC"/>
        </patternFill>
      </fill>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2CC"/>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E2EFDA"/>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D9E1F2"/>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D9E1F2"/>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D9E1F2"/>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D9E1F2"/>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D9E1F2"/>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CE4D6"/>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CE4D6"/>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CE4D6"/>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u val="none"/>
        <vertAlign val="baseline"/>
        <sz val="11"/>
        <color auto="1"/>
        <name val="Calibri"/>
        <family val="2"/>
        <scheme val="minor"/>
      </font>
      <alignment horizontal="general" vertical="top"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outline val="0"/>
        <shadow val="0"/>
        <u val="none"/>
        <vertAlign val="baseline"/>
        <sz val="11"/>
        <color auto="1"/>
        <name val="Calibri"/>
        <family val="2"/>
        <scheme val="minor"/>
      </font>
      <alignment textRotation="0" wrapText="1" indent="0" justifyLastLine="0" shrinkToFit="0" readingOrder="0"/>
    </dxf>
    <dxf>
      <border outline="0">
        <bottom style="thin">
          <color indexed="64"/>
        </bottom>
      </border>
    </dxf>
    <dxf>
      <alignment textRotation="0" wrapText="1" indent="0" justifyLastLine="0" shrinkToFit="0" readingOrder="0"/>
    </dxf>
  </dxfs>
  <tableStyles count="0" defaultTableStyle="TableStyleMedium2" defaultPivotStyle="PivotStyleLight16"/>
  <colors>
    <mruColors>
      <color rgb="FF8BE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Dan Ozminkowski" id="{D54E4803-8C22-44B5-919F-4E585E2D0993}" userId="S::dozminkowski@ies.org::7c7033f1-74d4-40c2-9553-632a5e1a5c01" providerId="AD"/>
  <person displayName="Jeffrey Boynton" id="{399265F6-1D10-4757-BF30-CFB20C44A905}" userId="S::jeffrey_lvcrva.com#ext#@illuminatingengineering.onmicrosoft.com::b6912386-df7d-4e10-8149-98ceebe44071" providerId="AD"/>
  <person displayName="Jeffrey Boynton" id="{BD976E6D-433C-4239-8708-2E7C6D0E1155}" userId="S::jeffrey_i5lc.studio#ext#@illuminatingengineering.onmicrosoft.com::2a628691-5013-4a92-952e-cf9380c14f1f" providerId="AD"/>
  <person displayName="JLPimenta LEUKOM" id="{6588802A-8D77-48F5-91FA-5F92CCE92942}" userId="S::leukom_leukom.com.br#ext#@illuminatingengineering.onmicrosoft.com::3f0f6c7e-9a57-4517-95fd-bc308911f65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1D1215-5503-47DA-9A45-B66BBE7ABDF9}" name="Table2" displayName="Table2" ref="A2:P136" totalsRowShown="0" headerRowDxfId="19" dataDxfId="17" headerRowBorderDxfId="18" tableBorderDxfId="16">
  <autoFilter ref="A2:P136" xr:uid="{00000000-0001-0000-0000-000000000000}"/>
  <tableColumns count="16">
    <tableColumn id="1" xr3:uid="{1D62CB51-AC1B-4129-9BB6-763168551966}" name="Required" dataDxfId="15"/>
    <tableColumn id="2" xr3:uid="{7BED85BF-7851-4D14-936C-309FD5C1F859}" name="TM32-19 Grouping" dataDxfId="14"/>
    <tableColumn id="3" xr3:uid="{979CBF2E-5031-46AE-AE36-CC9E6591A586}" name="NEMA GUID" dataDxfId="13"/>
    <tableColumn id="4" xr3:uid="{2A6469AB-4B3C-4CAB-84F0-26779955CB46}" name="Equivalent NEMA Name" dataDxfId="12"/>
    <tableColumn id="5" xr3:uid="{16648DCD-2EA2-4217-8F35-33044190A4A8}" name="Data Type" dataDxfId="11"/>
    <tableColumn id="6" xr3:uid="{A634E570-443D-48B7-906D-15B5B53AD6FE}" name="Built into Revit?" dataDxfId="10"/>
    <tableColumn id="7" xr3:uid="{F4F76909-E99F-4890-A0AF-F7F85EF3C2AA}" name="Revit Name (English)" dataDxfId="9"/>
    <tableColumn id="8" xr3:uid="{8B637D86-41E7-4EA6-B72E-71EA794625CD}" name="Name" dataDxfId="8"/>
    <tableColumn id="9" xr3:uid="{878939D1-E046-4B77-97AE-1A2F7AAFA8CD}" name="Group" dataDxfId="7">
      <calculatedColumnFormula>B3</calculatedColumnFormula>
    </tableColumn>
    <tableColumn id="10" xr3:uid="{C3170DFF-3CAB-4990-8825-4A8A8FEC937A}" name="Description  " dataDxfId="6"/>
    <tableColumn id="11" xr3:uid="{52170845-01F6-4310-86D0-2977B132409B}" name="Tool Tip" dataDxfId="5"/>
    <tableColumn id="12" xr3:uid="{6DD606AA-B9F5-49B4-B7C4-0914BBB3FF3E}" name="GUID" dataDxfId="4"/>
    <tableColumn id="13" xr3:uid="{2E8F618C-F458-463A-8BCA-B4E0FB5D061A}" name="Global ID (GLDF GUID)" dataDxfId="3"/>
    <tableColumn id="14" xr3:uid="{20F18535-8D2F-4B0F-A6E2-D8DFFFF82C53}" name="EN Name EN | EN ID" dataDxfId="2"/>
    <tableColumn id="15" xr3:uid="{C8D06930-2C9E-4EAA-89B2-F6BCF2DAC216}" name="Name EN GLDF" dataDxfId="1" dataCellStyle="Neutral"/>
    <tableColumn id="16" xr3:uid="{1345E374-3516-486E-8470-A70311B6444E}" name="Remark" dataDxfId="0" dataCellStyle="Not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1" dT="2023-04-26T17:38:35.34" personId="{D54E4803-8C22-44B5-919F-4E585E2D0993}" id="{EC68C9B4-4DCD-457B-AB56-5984E0422FF5}">
    <text>COLUMN HEADER MAY CHANGE PENDING PERMISSIONS STATUS</text>
  </threadedComment>
  <threadedComment ref="N2" dT="2023-02-14T18:34:31.48" personId="{6588802A-8D77-48F5-91FA-5F92CCE92942}" id="{372338BD-6367-4BF9-9880-2D3C30B91791}">
    <text>Name EN | EN ID</text>
  </threadedComment>
  <threadedComment ref="P10" dT="2022-11-21T14:17:29.88" personId="{6588802A-8D77-48F5-91FA-5F92CCE92942}" id="{CD063070-0D73-4218-A94A-99CC40D011DD}">
    <text>To be shared with "Apparent Power" from ISO/CIE (ID 02-001)</text>
  </threadedComment>
  <threadedComment ref="M18" dT="2023-02-15T15:17:45.90" personId="{6588802A-8D77-48F5-91FA-5F92CCE92942}" id="{4033407E-0764-4056-B19F-DBFD702F8B40}">
    <text>Not shown in EN List of Parameters</text>
  </threadedComment>
  <threadedComment ref="M22" dT="2022-04-19T16:26:49.11" personId="{BD976E6D-433C-4239-8708-2E7C6D0E1155}" id="{86269883-6E63-4B27-99AC-0E87C4A3739D}">
    <text>HVAC, Lighting, Receptacle, Etc.</text>
  </threadedComment>
  <threadedComment ref="R67" dT="2022-11-23T16:06:21.12" personId="{399265F6-1D10-4757-BF30-CFB20C44A905}" id="{732BF03B-E4EC-42ED-B3C0-A28377A5DDC4}">
    <text>Same or not same - only reference to the emitter in the GLDF, but perhaps it is part of L3D?</text>
  </threadedComment>
  <threadedComment ref="N71" dT="2023-02-16T14:07:02.40" personId="{6588802A-8D77-48F5-91FA-5F92CCE92942}" id="{25DD2FD4-AA57-47D7-A5E1-25D5073BC973}">
    <text>ambient temperature | EN ID: 06-0028</text>
  </threadedComment>
  <threadedComment ref="N82" dT="2023-02-16T14:29:23.16" personId="{6588802A-8D77-48F5-91FA-5F92CCE92942}" id="{8A361952-421D-4AED-B2CB-751CA1A93DFD}">
    <text>Not found in EN</text>
  </threadedComment>
  <threadedComment ref="N83" dT="2023-02-16T14:31:42.71" personId="{6588802A-8D77-48F5-91FA-5F92CCE92942}" id="{55A99FD3-4F1D-4FB2-AFE2-E38B95653837}">
    <text>not found in EN</text>
  </threadedComment>
  <threadedComment ref="N98" dT="2023-02-16T15:08:01.99" personId="{6588802A-8D77-48F5-91FA-5F92CCE92942}" id="{D6778FD5-E19B-4A33-A222-4A507CCF1FC9}">
    <text>not found in EN</text>
  </threadedComment>
  <threadedComment ref="N153" dT="2023-01-17T16:19:03.96" personId="{399265F6-1D10-4757-BF30-CFB20C44A905}" id="{21FD6875-099A-4469-AD6E-D1F1758591B6}">
    <text>This appears to be duplicated from above.</text>
  </threadedComment>
  <threadedComment ref="N215" dT="2023-02-18T20:30:33.85" personId="{6588802A-8D77-48F5-91FA-5F92CCE92942}" id="{0283B328-F54A-466A-A36E-C76F71EB6634}">
    <text>Not shown in CEN standard</text>
  </threadedComment>
  <threadedComment ref="N218" dT="2023-02-18T20:36:17.10" personId="{6588802A-8D77-48F5-91FA-5F92CCE92942}" id="{96C9C053-BE76-4889-8C74-65AEC5946FA9}">
    <text>Not shown in CEN standard</text>
  </threadedComment>
  <threadedComment ref="N253" dT="2023-02-20T13:36:02.76" personId="{6588802A-8D77-48F5-91FA-5F92CCE92942}" id="{CD77DC35-93F8-452A-94EB-384D35DC33DD}">
    <text xml:space="preserve">Not shown in CEN/TS standard
</text>
  </threadedComment>
  <threadedComment ref="N272" dT="2023-02-20T14:13:39.61" personId="{6588802A-8D77-48F5-91FA-5F92CCE92942}" id="{F9E90462-737D-482F-9BCA-7C8C1FC608DC}">
    <text>Not shown in CEN/TS standard</text>
  </threadedComment>
  <threadedComment ref="N286" dT="2023-02-20T14:35:56.82" personId="{6588802A-8D77-48F5-91FA-5F92CCE92942}" id="{21059D00-5C0C-4CEB-8D56-9F22E8C4C1BC}">
    <text>Not shown in CEN/TS standarrd</text>
  </threadedComment>
  <threadedComment ref="N322" dT="2023-02-20T15:36:10.13" personId="{6588802A-8D77-48F5-91FA-5F92CCE92942}" id="{A90D9201-0F97-491E-8011-BBEF61482A4F}">
    <text>Not shown in CEN/TS standard</text>
  </threadedComment>
  <threadedComment ref="N326" dT="2023-02-20T15:41:02.43" personId="{6588802A-8D77-48F5-91FA-5F92CCE92942}" id="{FB1A7D4B-7C4C-4D1E-BF96-726F60864565}">
    <text>Not shown in CEN/TS standard</text>
  </threadedComment>
  <threadedComment ref="N328" dT="2023-02-20T15:44:22.45" personId="{6588802A-8D77-48F5-91FA-5F92CCE92942}" id="{70610DE9-C638-4995-9A50-A7AF66318B2E}">
    <text>Not shown in CEN/TS standard</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137"/>
  <sheetViews>
    <sheetView tabSelected="1" view="pageBreakPreview" zoomScaleNormal="85" zoomScaleSheetLayoutView="100" workbookViewId="0">
      <pane ySplit="1" topLeftCell="A2" activePane="bottomLeft" state="frozen"/>
      <selection pane="bottomLeft"/>
    </sheetView>
  </sheetViews>
  <sheetFormatPr defaultColWidth="9.140625" defaultRowHeight="15" x14ac:dyDescent="0.25"/>
  <cols>
    <col min="1" max="1" width="13.7109375" style="1" bestFit="1" customWidth="1"/>
    <col min="2" max="2" width="19.85546875" style="1" bestFit="1" customWidth="1"/>
    <col min="3" max="3" width="38.7109375" style="1" customWidth="1"/>
    <col min="4" max="4" width="27.140625" style="1" customWidth="1"/>
    <col min="5" max="5" width="13.85546875" style="7" bestFit="1" customWidth="1"/>
    <col min="6" max="6" width="19.85546875" style="8" bestFit="1" customWidth="1"/>
    <col min="7" max="7" width="22" style="7" bestFit="1" customWidth="1"/>
    <col min="8" max="8" width="23.140625" style="6" customWidth="1"/>
    <col min="9" max="9" width="12.5703125" style="6" bestFit="1" customWidth="1"/>
    <col min="10" max="10" width="42.140625" style="6" customWidth="1"/>
    <col min="11" max="11" width="36.85546875" style="6" bestFit="1" customWidth="1"/>
    <col min="12" max="12" width="38.7109375" style="6" customWidth="1"/>
    <col min="13" max="13" width="27.85546875" style="3" bestFit="1" customWidth="1"/>
    <col min="14" max="14" width="23.140625" style="2" customWidth="1"/>
    <col min="15" max="15" width="18.7109375" style="4" customWidth="1"/>
    <col min="16" max="16" width="39.5703125" style="5" bestFit="1" customWidth="1"/>
    <col min="17" max="16384" width="9.140625" style="1"/>
  </cols>
  <sheetData>
    <row r="1" spans="1:16" x14ac:dyDescent="0.25">
      <c r="A1" s="31"/>
      <c r="B1" s="32"/>
      <c r="C1" s="63" t="s">
        <v>0</v>
      </c>
      <c r="D1" s="63"/>
      <c r="E1" s="67" t="s">
        <v>1</v>
      </c>
      <c r="F1" s="68"/>
      <c r="G1" s="69"/>
      <c r="H1" s="64" t="s">
        <v>2</v>
      </c>
      <c r="I1" s="64"/>
      <c r="J1" s="64"/>
      <c r="K1" s="64"/>
      <c r="L1" s="64"/>
      <c r="M1" s="65" t="s">
        <v>3</v>
      </c>
      <c r="N1" s="65"/>
      <c r="O1" s="66" t="s">
        <v>4</v>
      </c>
      <c r="P1" s="66"/>
    </row>
    <row r="2" spans="1:16" x14ac:dyDescent="0.25">
      <c r="A2" s="28" t="s">
        <v>5</v>
      </c>
      <c r="B2" s="29" t="s">
        <v>6</v>
      </c>
      <c r="C2" s="29" t="s">
        <v>7</v>
      </c>
      <c r="D2" s="30" t="s">
        <v>660</v>
      </c>
      <c r="E2" s="14" t="s">
        <v>8</v>
      </c>
      <c r="F2" s="15" t="s">
        <v>9</v>
      </c>
      <c r="G2" s="14" t="s">
        <v>10</v>
      </c>
      <c r="H2" s="16" t="s">
        <v>11</v>
      </c>
      <c r="I2" s="16" t="s">
        <v>12</v>
      </c>
      <c r="J2" s="16" t="s">
        <v>13</v>
      </c>
      <c r="K2" s="16" t="s">
        <v>14</v>
      </c>
      <c r="L2" s="16" t="s">
        <v>15</v>
      </c>
      <c r="M2" s="17" t="s">
        <v>16</v>
      </c>
      <c r="N2" s="18" t="s">
        <v>17</v>
      </c>
      <c r="O2" s="19" t="s">
        <v>18</v>
      </c>
      <c r="P2" s="20" t="s">
        <v>19</v>
      </c>
    </row>
    <row r="3" spans="1:16" ht="60" x14ac:dyDescent="0.25">
      <c r="A3" s="34" t="s">
        <v>20</v>
      </c>
      <c r="B3" s="35" t="s">
        <v>21</v>
      </c>
      <c r="C3" s="35"/>
      <c r="D3" s="35"/>
      <c r="E3" s="10" t="s">
        <v>22</v>
      </c>
      <c r="F3" s="36"/>
      <c r="G3" s="10"/>
      <c r="H3" s="11" t="s">
        <v>23</v>
      </c>
      <c r="I3" s="11" t="str">
        <f>B3</f>
        <v>General</v>
      </c>
      <c r="J3" s="11" t="s">
        <v>24</v>
      </c>
      <c r="K3" s="11" t="s">
        <v>25</v>
      </c>
      <c r="L3" s="11" t="s">
        <v>26</v>
      </c>
      <c r="M3" s="37" t="s">
        <v>27</v>
      </c>
      <c r="N3" s="38" t="s">
        <v>28</v>
      </c>
      <c r="O3" s="39" t="s">
        <v>29</v>
      </c>
      <c r="P3" s="40" t="s">
        <v>30</v>
      </c>
    </row>
    <row r="4" spans="1:16" ht="30" x14ac:dyDescent="0.25">
      <c r="A4" s="34" t="s">
        <v>20</v>
      </c>
      <c r="B4" s="35" t="s">
        <v>21</v>
      </c>
      <c r="C4" s="35"/>
      <c r="D4" s="35"/>
      <c r="E4" s="10" t="s">
        <v>22</v>
      </c>
      <c r="F4" s="36"/>
      <c r="G4" s="10"/>
      <c r="H4" s="11" t="s">
        <v>31</v>
      </c>
      <c r="I4" s="11" t="str">
        <f t="shared" ref="I4:I68" si="0">B4</f>
        <v>General</v>
      </c>
      <c r="J4" s="11" t="s">
        <v>32</v>
      </c>
      <c r="K4" s="11" t="s">
        <v>32</v>
      </c>
      <c r="L4" s="11" t="s">
        <v>33</v>
      </c>
      <c r="M4" s="37" t="s">
        <v>34</v>
      </c>
      <c r="N4" s="38" t="s">
        <v>35</v>
      </c>
      <c r="O4" s="39" t="s">
        <v>31</v>
      </c>
      <c r="P4" s="40"/>
    </row>
    <row r="5" spans="1:16" ht="30" x14ac:dyDescent="0.25">
      <c r="A5" s="34" t="s">
        <v>20</v>
      </c>
      <c r="B5" s="35" t="s">
        <v>21</v>
      </c>
      <c r="C5" s="35" t="s">
        <v>36</v>
      </c>
      <c r="D5" s="35" t="s">
        <v>37</v>
      </c>
      <c r="E5" s="10" t="s">
        <v>38</v>
      </c>
      <c r="F5" s="36"/>
      <c r="G5" s="10"/>
      <c r="H5" s="11" t="s">
        <v>39</v>
      </c>
      <c r="I5" s="11" t="str">
        <f t="shared" si="0"/>
        <v>General</v>
      </c>
      <c r="J5" s="11" t="s">
        <v>40</v>
      </c>
      <c r="K5" s="11" t="s">
        <v>41</v>
      </c>
      <c r="L5" s="11" t="s">
        <v>36</v>
      </c>
      <c r="M5" s="37" t="s">
        <v>42</v>
      </c>
      <c r="N5" s="38" t="s">
        <v>43</v>
      </c>
      <c r="O5" s="39" t="s">
        <v>44</v>
      </c>
      <c r="P5" s="40" t="s">
        <v>45</v>
      </c>
    </row>
    <row r="6" spans="1:16" ht="30" x14ac:dyDescent="0.25">
      <c r="A6" s="34" t="s">
        <v>20</v>
      </c>
      <c r="B6" s="35" t="s">
        <v>21</v>
      </c>
      <c r="C6" s="41"/>
      <c r="D6" s="41"/>
      <c r="E6" s="10" t="s">
        <v>22</v>
      </c>
      <c r="F6" s="36"/>
      <c r="G6" s="10"/>
      <c r="H6" s="11" t="s">
        <v>46</v>
      </c>
      <c r="I6" s="11" t="str">
        <f t="shared" si="0"/>
        <v>General</v>
      </c>
      <c r="J6" s="11" t="s">
        <v>47</v>
      </c>
      <c r="K6" s="11" t="s">
        <v>48</v>
      </c>
      <c r="L6" s="11" t="s">
        <v>49</v>
      </c>
      <c r="M6" s="37" t="s">
        <v>50</v>
      </c>
      <c r="N6" s="38" t="s">
        <v>51</v>
      </c>
      <c r="O6" s="39" t="s">
        <v>52</v>
      </c>
      <c r="P6" s="40"/>
    </row>
    <row r="7" spans="1:16" ht="45" x14ac:dyDescent="0.25">
      <c r="A7" s="34" t="s">
        <v>20</v>
      </c>
      <c r="B7" s="42" t="s">
        <v>53</v>
      </c>
      <c r="C7" s="43" t="s">
        <v>54</v>
      </c>
      <c r="D7" s="43" t="s">
        <v>55</v>
      </c>
      <c r="E7" s="10" t="s">
        <v>56</v>
      </c>
      <c r="F7" s="36" t="s">
        <v>57</v>
      </c>
      <c r="G7" s="10"/>
      <c r="H7" s="11" t="s">
        <v>58</v>
      </c>
      <c r="I7" s="11" t="str">
        <f t="shared" si="0"/>
        <v>Photometric</v>
      </c>
      <c r="J7" s="11" t="s">
        <v>688</v>
      </c>
      <c r="K7" s="11" t="s">
        <v>695</v>
      </c>
      <c r="L7" s="11" t="s">
        <v>59</v>
      </c>
      <c r="M7" s="37" t="s">
        <v>60</v>
      </c>
      <c r="N7" s="38" t="s">
        <v>61</v>
      </c>
      <c r="O7" s="39" t="s">
        <v>62</v>
      </c>
      <c r="P7" s="40"/>
    </row>
    <row r="8" spans="1:16" ht="30" x14ac:dyDescent="0.25">
      <c r="A8" s="13" t="s">
        <v>20</v>
      </c>
      <c r="B8" s="42" t="s">
        <v>53</v>
      </c>
      <c r="C8" s="44" t="s">
        <v>63</v>
      </c>
      <c r="D8" s="43" t="s">
        <v>64</v>
      </c>
      <c r="E8" s="45" t="s">
        <v>65</v>
      </c>
      <c r="F8" s="36"/>
      <c r="G8" s="10"/>
      <c r="H8" s="11" t="str">
        <f>D8</f>
        <v>Color Rendering Index (CRI)</v>
      </c>
      <c r="I8" s="11" t="str">
        <f t="shared" si="0"/>
        <v>Photometric</v>
      </c>
      <c r="J8" s="11" t="s">
        <v>66</v>
      </c>
      <c r="K8" s="11" t="s">
        <v>66</v>
      </c>
      <c r="L8" s="11" t="s">
        <v>63</v>
      </c>
      <c r="M8" s="37"/>
      <c r="N8" s="38"/>
      <c r="O8" s="39"/>
      <c r="P8" s="40"/>
    </row>
    <row r="9" spans="1:16" ht="30" x14ac:dyDescent="0.25">
      <c r="A9" s="34" t="s">
        <v>20</v>
      </c>
      <c r="B9" s="35" t="s">
        <v>53</v>
      </c>
      <c r="C9" s="46"/>
      <c r="D9" s="46"/>
      <c r="E9" s="10" t="s">
        <v>67</v>
      </c>
      <c r="F9" s="36" t="s">
        <v>57</v>
      </c>
      <c r="G9" s="10"/>
      <c r="H9" s="11" t="s">
        <v>68</v>
      </c>
      <c r="I9" s="11" t="str">
        <f t="shared" si="0"/>
        <v>Photometric</v>
      </c>
      <c r="J9" s="11" t="s">
        <v>69</v>
      </c>
      <c r="K9" s="11" t="s">
        <v>70</v>
      </c>
      <c r="L9" s="11" t="s">
        <v>59</v>
      </c>
      <c r="M9" s="37" t="s">
        <v>71</v>
      </c>
      <c r="N9" s="38" t="s">
        <v>72</v>
      </c>
      <c r="O9" s="39" t="s">
        <v>73</v>
      </c>
      <c r="P9" s="40" t="s">
        <v>74</v>
      </c>
    </row>
    <row r="10" spans="1:16" ht="45" x14ac:dyDescent="0.25">
      <c r="A10" s="34" t="s">
        <v>20</v>
      </c>
      <c r="B10" s="35" t="s">
        <v>75</v>
      </c>
      <c r="C10" s="35" t="s">
        <v>76</v>
      </c>
      <c r="D10" s="35" t="s">
        <v>77</v>
      </c>
      <c r="E10" s="10" t="s">
        <v>78</v>
      </c>
      <c r="F10" s="36" t="s">
        <v>57</v>
      </c>
      <c r="G10" s="10"/>
      <c r="H10" s="11" t="s">
        <v>77</v>
      </c>
      <c r="I10" s="11" t="str">
        <f t="shared" si="0"/>
        <v>Electrical</v>
      </c>
      <c r="J10" s="11" t="s">
        <v>689</v>
      </c>
      <c r="K10" s="11" t="s">
        <v>696</v>
      </c>
      <c r="L10" s="11" t="s">
        <v>59</v>
      </c>
      <c r="M10" s="37" t="s">
        <v>79</v>
      </c>
      <c r="N10" s="38" t="s">
        <v>80</v>
      </c>
      <c r="O10" s="39"/>
      <c r="P10" s="40" t="s">
        <v>81</v>
      </c>
    </row>
    <row r="11" spans="1:16" ht="45" x14ac:dyDescent="0.25">
      <c r="A11" s="34" t="s">
        <v>20</v>
      </c>
      <c r="B11" s="35" t="s">
        <v>75</v>
      </c>
      <c r="C11" s="35" t="s">
        <v>82</v>
      </c>
      <c r="D11" s="35" t="s">
        <v>83</v>
      </c>
      <c r="E11" s="10" t="s">
        <v>22</v>
      </c>
      <c r="F11" s="36"/>
      <c r="G11" s="10"/>
      <c r="H11" s="11" t="s">
        <v>84</v>
      </c>
      <c r="I11" s="11" t="str">
        <f t="shared" si="0"/>
        <v>Electrical</v>
      </c>
      <c r="J11" s="11" t="s">
        <v>690</v>
      </c>
      <c r="K11" s="11" t="s">
        <v>697</v>
      </c>
      <c r="L11" s="11" t="s">
        <v>82</v>
      </c>
      <c r="M11" s="37" t="s">
        <v>85</v>
      </c>
      <c r="N11" s="38" t="s">
        <v>86</v>
      </c>
      <c r="O11" s="39" t="s">
        <v>87</v>
      </c>
      <c r="P11" s="47" t="s">
        <v>87</v>
      </c>
    </row>
    <row r="12" spans="1:16" ht="75" x14ac:dyDescent="0.25">
      <c r="A12" s="34" t="s">
        <v>20</v>
      </c>
      <c r="B12" s="35" t="s">
        <v>75</v>
      </c>
      <c r="C12" s="35" t="s">
        <v>88</v>
      </c>
      <c r="D12" s="35" t="s">
        <v>89</v>
      </c>
      <c r="E12" s="10" t="s">
        <v>78</v>
      </c>
      <c r="F12" s="36" t="s">
        <v>90</v>
      </c>
      <c r="G12" s="10"/>
      <c r="H12" s="11" t="s">
        <v>91</v>
      </c>
      <c r="I12" s="11" t="str">
        <f t="shared" si="0"/>
        <v>Electrical</v>
      </c>
      <c r="J12" s="11" t="s">
        <v>781</v>
      </c>
      <c r="K12" s="11" t="s">
        <v>696</v>
      </c>
      <c r="L12" s="11" t="s">
        <v>88</v>
      </c>
      <c r="M12" s="37" t="s">
        <v>92</v>
      </c>
      <c r="N12" s="38" t="s">
        <v>93</v>
      </c>
      <c r="O12" s="39" t="s">
        <v>94</v>
      </c>
      <c r="P12" s="40"/>
    </row>
    <row r="13" spans="1:16" ht="45" x14ac:dyDescent="0.25">
      <c r="A13" s="34" t="s">
        <v>20</v>
      </c>
      <c r="B13" s="35" t="s">
        <v>75</v>
      </c>
      <c r="C13" s="35" t="s">
        <v>95</v>
      </c>
      <c r="D13" s="35" t="s">
        <v>96</v>
      </c>
      <c r="E13" s="10" t="s">
        <v>97</v>
      </c>
      <c r="F13" s="48"/>
      <c r="G13" s="10"/>
      <c r="H13" s="11" t="s">
        <v>96</v>
      </c>
      <c r="I13" s="11" t="str">
        <f t="shared" si="0"/>
        <v>Electrical</v>
      </c>
      <c r="J13" s="11" t="s">
        <v>782</v>
      </c>
      <c r="K13" s="11" t="s">
        <v>698</v>
      </c>
      <c r="L13" s="11" t="s">
        <v>95</v>
      </c>
      <c r="M13" s="37" t="s">
        <v>98</v>
      </c>
      <c r="N13" s="38" t="s">
        <v>99</v>
      </c>
      <c r="O13" s="39" t="s">
        <v>100</v>
      </c>
      <c r="P13" s="40"/>
    </row>
    <row r="14" spans="1:16" ht="30" x14ac:dyDescent="0.25">
      <c r="A14" s="34"/>
      <c r="B14" s="35" t="s">
        <v>75</v>
      </c>
      <c r="C14" s="35" t="s">
        <v>101</v>
      </c>
      <c r="D14" s="35" t="s">
        <v>102</v>
      </c>
      <c r="E14" s="10" t="s">
        <v>103</v>
      </c>
      <c r="F14" s="36" t="s">
        <v>57</v>
      </c>
      <c r="G14" s="10"/>
      <c r="H14" s="11" t="s">
        <v>104</v>
      </c>
      <c r="I14" s="11" t="str">
        <f t="shared" si="0"/>
        <v>Electrical</v>
      </c>
      <c r="J14" s="11" t="s">
        <v>105</v>
      </c>
      <c r="K14" s="11" t="s">
        <v>106</v>
      </c>
      <c r="L14" s="11" t="s">
        <v>59</v>
      </c>
      <c r="M14" s="37" t="s">
        <v>107</v>
      </c>
      <c r="N14" s="38" t="s">
        <v>108</v>
      </c>
      <c r="O14" s="39"/>
      <c r="P14" s="40" t="s">
        <v>81</v>
      </c>
    </row>
    <row r="15" spans="1:16" ht="45" x14ac:dyDescent="0.25">
      <c r="A15" s="34"/>
      <c r="B15" s="35" t="s">
        <v>109</v>
      </c>
      <c r="C15" s="35"/>
      <c r="D15" s="35"/>
      <c r="E15" s="10" t="s">
        <v>22</v>
      </c>
      <c r="F15" s="36" t="s">
        <v>90</v>
      </c>
      <c r="G15" s="10"/>
      <c r="H15" s="11" t="s">
        <v>110</v>
      </c>
      <c r="I15" s="11" t="str">
        <f t="shared" si="0"/>
        <v>Mechanical</v>
      </c>
      <c r="J15" s="11" t="s">
        <v>111</v>
      </c>
      <c r="K15" s="11" t="s">
        <v>703</v>
      </c>
      <c r="L15" s="11" t="s">
        <v>112</v>
      </c>
      <c r="M15" s="37" t="s">
        <v>113</v>
      </c>
      <c r="N15" s="38" t="s">
        <v>114</v>
      </c>
      <c r="O15" s="39" t="s">
        <v>115</v>
      </c>
      <c r="P15" s="40" t="s">
        <v>116</v>
      </c>
    </row>
    <row r="16" spans="1:16" ht="30" x14ac:dyDescent="0.25">
      <c r="A16" s="34"/>
      <c r="B16" s="35" t="s">
        <v>21</v>
      </c>
      <c r="C16" s="35"/>
      <c r="D16" s="35"/>
      <c r="E16" s="10" t="s">
        <v>22</v>
      </c>
      <c r="F16" s="36" t="s">
        <v>90</v>
      </c>
      <c r="G16" s="10"/>
      <c r="H16" s="11" t="s">
        <v>117</v>
      </c>
      <c r="I16" s="11" t="str">
        <f t="shared" si="0"/>
        <v>General</v>
      </c>
      <c r="J16" s="11" t="s">
        <v>118</v>
      </c>
      <c r="K16" s="11" t="s">
        <v>119</v>
      </c>
      <c r="L16" s="11" t="s">
        <v>120</v>
      </c>
      <c r="M16" s="37" t="s">
        <v>121</v>
      </c>
      <c r="N16" s="38" t="s">
        <v>122</v>
      </c>
      <c r="O16" s="39" t="s">
        <v>123</v>
      </c>
      <c r="P16" s="40"/>
    </row>
    <row r="17" spans="1:16" ht="30" x14ac:dyDescent="0.25">
      <c r="A17" s="34"/>
      <c r="B17" s="35" t="s">
        <v>21</v>
      </c>
      <c r="C17" s="35"/>
      <c r="D17" s="35"/>
      <c r="E17" s="10" t="s">
        <v>124</v>
      </c>
      <c r="F17" s="36" t="s">
        <v>90</v>
      </c>
      <c r="G17" s="10"/>
      <c r="H17" s="11" t="s">
        <v>125</v>
      </c>
      <c r="I17" s="11" t="str">
        <f t="shared" si="0"/>
        <v>General</v>
      </c>
      <c r="J17" s="11" t="s">
        <v>126</v>
      </c>
      <c r="K17" s="11" t="s">
        <v>127</v>
      </c>
      <c r="L17" s="11" t="s">
        <v>128</v>
      </c>
      <c r="M17" s="37" t="s">
        <v>129</v>
      </c>
      <c r="N17" s="38" t="s">
        <v>130</v>
      </c>
      <c r="O17" s="39"/>
      <c r="P17" s="40" t="s">
        <v>81</v>
      </c>
    </row>
    <row r="18" spans="1:16" ht="60" x14ac:dyDescent="0.25">
      <c r="A18" s="13" t="s">
        <v>20</v>
      </c>
      <c r="B18" s="35" t="s">
        <v>53</v>
      </c>
      <c r="C18" s="35"/>
      <c r="D18" s="35"/>
      <c r="E18" s="10" t="s">
        <v>131</v>
      </c>
      <c r="F18" s="36" t="s">
        <v>57</v>
      </c>
      <c r="G18" s="10"/>
      <c r="H18" s="11" t="s">
        <v>132</v>
      </c>
      <c r="I18" s="11" t="str">
        <f t="shared" si="0"/>
        <v>Photometric</v>
      </c>
      <c r="J18" s="11" t="s">
        <v>133</v>
      </c>
      <c r="K18" s="11" t="s">
        <v>133</v>
      </c>
      <c r="L18" s="11" t="s">
        <v>59</v>
      </c>
      <c r="M18" s="37" t="s">
        <v>134</v>
      </c>
      <c r="N18" s="38" t="s">
        <v>135</v>
      </c>
      <c r="O18" s="39"/>
      <c r="P18" s="40"/>
    </row>
    <row r="19" spans="1:16" ht="75" x14ac:dyDescent="0.25">
      <c r="A19" s="34"/>
      <c r="B19" s="35" t="s">
        <v>53</v>
      </c>
      <c r="C19" s="35"/>
      <c r="D19" s="35"/>
      <c r="E19" s="10"/>
      <c r="F19" s="36" t="s">
        <v>57</v>
      </c>
      <c r="G19" s="10"/>
      <c r="H19" s="11" t="s">
        <v>136</v>
      </c>
      <c r="I19" s="11" t="str">
        <f t="shared" si="0"/>
        <v>Photometric</v>
      </c>
      <c r="J19" s="49" t="s">
        <v>137</v>
      </c>
      <c r="K19" s="11" t="s">
        <v>138</v>
      </c>
      <c r="L19" s="11" t="s">
        <v>59</v>
      </c>
      <c r="M19" s="37"/>
      <c r="N19" s="38"/>
      <c r="O19" s="39"/>
      <c r="P19" s="40"/>
    </row>
    <row r="20" spans="1:16" ht="270" x14ac:dyDescent="0.25">
      <c r="A20" s="34"/>
      <c r="B20" s="35" t="s">
        <v>53</v>
      </c>
      <c r="C20" s="35"/>
      <c r="D20" s="35"/>
      <c r="E20" s="10"/>
      <c r="F20" s="36" t="s">
        <v>57</v>
      </c>
      <c r="G20" s="10"/>
      <c r="H20" s="11" t="s">
        <v>139</v>
      </c>
      <c r="I20" s="11" t="str">
        <f t="shared" si="0"/>
        <v>Photometric</v>
      </c>
      <c r="J20" s="50" t="s">
        <v>140</v>
      </c>
      <c r="K20" s="12" t="s">
        <v>141</v>
      </c>
      <c r="L20" s="11" t="s">
        <v>59</v>
      </c>
      <c r="M20" s="37"/>
      <c r="N20" s="38"/>
      <c r="O20" s="39"/>
      <c r="P20" s="40"/>
    </row>
    <row r="21" spans="1:16" ht="30" x14ac:dyDescent="0.25">
      <c r="A21" s="34" t="s">
        <v>20</v>
      </c>
      <c r="B21" s="35" t="s">
        <v>75</v>
      </c>
      <c r="C21" s="35"/>
      <c r="D21" s="35"/>
      <c r="E21" s="10" t="s">
        <v>142</v>
      </c>
      <c r="F21" s="36"/>
      <c r="G21" s="10"/>
      <c r="H21" s="11" t="s">
        <v>143</v>
      </c>
      <c r="I21" s="11" t="str">
        <f t="shared" si="0"/>
        <v>Electrical</v>
      </c>
      <c r="J21" s="11" t="s">
        <v>144</v>
      </c>
      <c r="K21" s="11" t="s">
        <v>144</v>
      </c>
      <c r="L21" s="11" t="s">
        <v>145</v>
      </c>
      <c r="M21" s="37" t="s">
        <v>146</v>
      </c>
      <c r="N21" s="38" t="s">
        <v>147</v>
      </c>
      <c r="O21" s="39" t="s">
        <v>143</v>
      </c>
      <c r="P21" s="40"/>
    </row>
    <row r="22" spans="1:16" ht="45" x14ac:dyDescent="0.25">
      <c r="A22" s="34"/>
      <c r="B22" s="35" t="s">
        <v>75</v>
      </c>
      <c r="C22" s="35"/>
      <c r="D22" s="35"/>
      <c r="E22" s="10"/>
      <c r="F22" s="36" t="s">
        <v>57</v>
      </c>
      <c r="G22" s="10"/>
      <c r="H22" s="11" t="s">
        <v>148</v>
      </c>
      <c r="I22" s="11" t="str">
        <f t="shared" si="0"/>
        <v>Electrical</v>
      </c>
      <c r="J22" s="11" t="s">
        <v>149</v>
      </c>
      <c r="K22" s="11" t="s">
        <v>149</v>
      </c>
      <c r="L22" s="11" t="s">
        <v>59</v>
      </c>
      <c r="M22" s="37"/>
      <c r="N22" s="38"/>
      <c r="O22" s="39"/>
      <c r="P22" s="40"/>
    </row>
    <row r="23" spans="1:16" ht="60" x14ac:dyDescent="0.25">
      <c r="A23" s="34"/>
      <c r="B23" s="35" t="s">
        <v>21</v>
      </c>
      <c r="C23" s="35" t="s">
        <v>150</v>
      </c>
      <c r="D23" s="35" t="s">
        <v>151</v>
      </c>
      <c r="E23" s="10" t="s">
        <v>152</v>
      </c>
      <c r="F23" s="36"/>
      <c r="G23" s="10"/>
      <c r="H23" s="11" t="s">
        <v>153</v>
      </c>
      <c r="I23" s="11" t="str">
        <f t="shared" si="0"/>
        <v>General</v>
      </c>
      <c r="J23" s="11" t="s">
        <v>704</v>
      </c>
      <c r="K23" s="11" t="s">
        <v>704</v>
      </c>
      <c r="L23" s="11" t="s">
        <v>150</v>
      </c>
      <c r="M23" s="37" t="s">
        <v>154</v>
      </c>
      <c r="N23" s="38" t="s">
        <v>155</v>
      </c>
      <c r="O23" s="39" t="s">
        <v>156</v>
      </c>
      <c r="P23" s="40"/>
    </row>
    <row r="24" spans="1:16" ht="60" x14ac:dyDescent="0.25">
      <c r="A24" s="34" t="s">
        <v>20</v>
      </c>
      <c r="B24" s="35" t="s">
        <v>21</v>
      </c>
      <c r="C24" s="35" t="s">
        <v>157</v>
      </c>
      <c r="D24" s="35" t="s">
        <v>158</v>
      </c>
      <c r="E24" s="10" t="s">
        <v>152</v>
      </c>
      <c r="F24" s="36"/>
      <c r="G24" s="10"/>
      <c r="H24" s="11" t="s">
        <v>159</v>
      </c>
      <c r="I24" s="11" t="str">
        <f t="shared" si="0"/>
        <v>General</v>
      </c>
      <c r="J24" s="11" t="s">
        <v>705</v>
      </c>
      <c r="K24" s="11" t="s">
        <v>705</v>
      </c>
      <c r="L24" s="11" t="s">
        <v>157</v>
      </c>
      <c r="M24" s="37" t="s">
        <v>160</v>
      </c>
      <c r="N24" s="38" t="s">
        <v>161</v>
      </c>
      <c r="O24" s="39" t="s">
        <v>162</v>
      </c>
      <c r="P24" s="40" t="s">
        <v>163</v>
      </c>
    </row>
    <row r="25" spans="1:16" ht="60" x14ac:dyDescent="0.25">
      <c r="A25" s="34" t="s">
        <v>20</v>
      </c>
      <c r="B25" s="35" t="s">
        <v>21</v>
      </c>
      <c r="C25" s="35"/>
      <c r="D25" s="35"/>
      <c r="E25" s="10" t="s">
        <v>152</v>
      </c>
      <c r="F25" s="36"/>
      <c r="G25" s="10"/>
      <c r="H25" s="11" t="s">
        <v>164</v>
      </c>
      <c r="I25" s="11" t="str">
        <f t="shared" si="0"/>
        <v>General</v>
      </c>
      <c r="J25" s="11" t="s">
        <v>165</v>
      </c>
      <c r="K25" s="11" t="s">
        <v>165</v>
      </c>
      <c r="L25" s="11" t="s">
        <v>166</v>
      </c>
      <c r="M25" s="37" t="s">
        <v>167</v>
      </c>
      <c r="N25" s="38" t="s">
        <v>168</v>
      </c>
      <c r="O25" s="39" t="s">
        <v>169</v>
      </c>
      <c r="P25" s="40" t="s">
        <v>170</v>
      </c>
    </row>
    <row r="26" spans="1:16" ht="90" x14ac:dyDescent="0.25">
      <c r="A26" s="34" t="s">
        <v>20</v>
      </c>
      <c r="B26" s="35" t="s">
        <v>21</v>
      </c>
      <c r="C26" s="35" t="s">
        <v>171</v>
      </c>
      <c r="D26" s="35" t="s">
        <v>172</v>
      </c>
      <c r="E26" s="10" t="s">
        <v>152</v>
      </c>
      <c r="F26" s="36"/>
      <c r="G26" s="10"/>
      <c r="H26" s="11" t="s">
        <v>173</v>
      </c>
      <c r="I26" s="11" t="str">
        <f t="shared" si="0"/>
        <v>General</v>
      </c>
      <c r="J26" s="11" t="s">
        <v>783</v>
      </c>
      <c r="K26" s="11" t="s">
        <v>706</v>
      </c>
      <c r="L26" s="11" t="s">
        <v>171</v>
      </c>
      <c r="M26" s="37" t="s">
        <v>174</v>
      </c>
      <c r="N26" s="38" t="s">
        <v>175</v>
      </c>
      <c r="O26" s="39" t="s">
        <v>176</v>
      </c>
      <c r="P26" s="40" t="s">
        <v>177</v>
      </c>
    </row>
    <row r="27" spans="1:16" ht="45" x14ac:dyDescent="0.25">
      <c r="A27" s="34" t="s">
        <v>20</v>
      </c>
      <c r="B27" s="35" t="s">
        <v>21</v>
      </c>
      <c r="C27" s="35"/>
      <c r="D27" s="35"/>
      <c r="E27" s="10" t="s">
        <v>152</v>
      </c>
      <c r="F27" s="36"/>
      <c r="G27" s="10"/>
      <c r="H27" s="11" t="s">
        <v>178</v>
      </c>
      <c r="I27" s="11" t="str">
        <f t="shared" si="0"/>
        <v>General</v>
      </c>
      <c r="J27" s="11" t="s">
        <v>179</v>
      </c>
      <c r="K27" s="11" t="s">
        <v>179</v>
      </c>
      <c r="L27" s="11" t="s">
        <v>180</v>
      </c>
      <c r="M27" s="37" t="s">
        <v>181</v>
      </c>
      <c r="N27" s="38" t="s">
        <v>182</v>
      </c>
      <c r="O27" s="39" t="s">
        <v>183</v>
      </c>
      <c r="P27" s="40"/>
    </row>
    <row r="28" spans="1:16" ht="60" x14ac:dyDescent="0.25">
      <c r="A28" s="34" t="s">
        <v>20</v>
      </c>
      <c r="B28" s="35" t="s">
        <v>21</v>
      </c>
      <c r="C28" s="35" t="s">
        <v>184</v>
      </c>
      <c r="D28" s="35" t="s">
        <v>185</v>
      </c>
      <c r="E28" s="10" t="s">
        <v>152</v>
      </c>
      <c r="F28" s="36"/>
      <c r="G28" s="10"/>
      <c r="H28" s="11" t="s">
        <v>152</v>
      </c>
      <c r="I28" s="11" t="str">
        <f t="shared" si="0"/>
        <v>General</v>
      </c>
      <c r="J28" s="11" t="s">
        <v>691</v>
      </c>
      <c r="K28" s="11" t="s">
        <v>691</v>
      </c>
      <c r="L28" s="11" t="s">
        <v>184</v>
      </c>
      <c r="M28" s="37"/>
      <c r="N28" s="38"/>
      <c r="O28" s="39"/>
      <c r="P28" s="40"/>
    </row>
    <row r="29" spans="1:16" ht="45" x14ac:dyDescent="0.25">
      <c r="A29" s="34" t="s">
        <v>20</v>
      </c>
      <c r="B29" s="35" t="s">
        <v>21</v>
      </c>
      <c r="C29" s="35"/>
      <c r="D29" s="35"/>
      <c r="E29" s="10" t="s">
        <v>152</v>
      </c>
      <c r="F29" s="36"/>
      <c r="G29" s="10"/>
      <c r="H29" s="11" t="s">
        <v>186</v>
      </c>
      <c r="I29" s="11" t="str">
        <f t="shared" si="0"/>
        <v>General</v>
      </c>
      <c r="J29" s="11" t="s">
        <v>187</v>
      </c>
      <c r="K29" s="11" t="s">
        <v>187</v>
      </c>
      <c r="L29" s="11" t="s">
        <v>188</v>
      </c>
      <c r="M29" s="37"/>
      <c r="N29" s="38"/>
      <c r="O29" s="39"/>
      <c r="P29" s="40"/>
    </row>
    <row r="30" spans="1:16" x14ac:dyDescent="0.25">
      <c r="A30" s="34"/>
      <c r="B30" s="35" t="s">
        <v>21</v>
      </c>
      <c r="C30" s="35" t="s">
        <v>189</v>
      </c>
      <c r="D30" s="35" t="s">
        <v>190</v>
      </c>
      <c r="E30" s="10" t="s">
        <v>152</v>
      </c>
      <c r="F30" s="36"/>
      <c r="G30" s="10"/>
      <c r="H30" s="11" t="s">
        <v>190</v>
      </c>
      <c r="I30" s="11" t="str">
        <f t="shared" si="0"/>
        <v>General</v>
      </c>
      <c r="J30" s="11" t="s">
        <v>191</v>
      </c>
      <c r="K30" s="11" t="s">
        <v>191</v>
      </c>
      <c r="L30" s="11" t="s">
        <v>189</v>
      </c>
      <c r="M30" s="37"/>
      <c r="N30" s="38"/>
      <c r="O30" s="39"/>
      <c r="P30" s="40"/>
    </row>
    <row r="31" spans="1:16" ht="105" x14ac:dyDescent="0.25">
      <c r="A31" s="34" t="s">
        <v>20</v>
      </c>
      <c r="B31" s="35" t="s">
        <v>21</v>
      </c>
      <c r="C31" s="35" t="s">
        <v>192</v>
      </c>
      <c r="D31" s="35" t="s">
        <v>193</v>
      </c>
      <c r="E31" s="10" t="s">
        <v>152</v>
      </c>
      <c r="F31" s="36"/>
      <c r="G31" s="10"/>
      <c r="H31" s="11" t="s">
        <v>194</v>
      </c>
      <c r="I31" s="11" t="str">
        <f t="shared" si="0"/>
        <v>General</v>
      </c>
      <c r="J31" s="11" t="s">
        <v>701</v>
      </c>
      <c r="K31" s="11" t="s">
        <v>707</v>
      </c>
      <c r="L31" s="11" t="s">
        <v>192</v>
      </c>
      <c r="M31" s="37" t="s">
        <v>195</v>
      </c>
      <c r="N31" s="38" t="s">
        <v>196</v>
      </c>
      <c r="O31" s="39" t="s">
        <v>197</v>
      </c>
      <c r="P31" s="40" t="s">
        <v>702</v>
      </c>
    </row>
    <row r="32" spans="1:16" ht="45" x14ac:dyDescent="0.25">
      <c r="A32" s="34" t="s">
        <v>20</v>
      </c>
      <c r="B32" s="35" t="s">
        <v>21</v>
      </c>
      <c r="C32" s="35"/>
      <c r="D32" s="35"/>
      <c r="E32" s="10" t="s">
        <v>152</v>
      </c>
      <c r="F32" s="36"/>
      <c r="G32" s="10"/>
      <c r="H32" s="11" t="s">
        <v>198</v>
      </c>
      <c r="I32" s="11" t="str">
        <f t="shared" si="0"/>
        <v>General</v>
      </c>
      <c r="J32" s="11" t="s">
        <v>708</v>
      </c>
      <c r="K32" s="11" t="s">
        <v>708</v>
      </c>
      <c r="L32" s="11" t="s">
        <v>199</v>
      </c>
      <c r="M32" s="37" t="s">
        <v>200</v>
      </c>
      <c r="N32" s="38" t="s">
        <v>201</v>
      </c>
      <c r="O32" s="39" t="s">
        <v>202</v>
      </c>
      <c r="P32" s="40" t="s">
        <v>203</v>
      </c>
    </row>
    <row r="33" spans="1:16" ht="30" x14ac:dyDescent="0.25">
      <c r="A33" s="34"/>
      <c r="B33" s="35" t="s">
        <v>204</v>
      </c>
      <c r="C33" s="35"/>
      <c r="D33" s="35"/>
      <c r="E33" s="10" t="s">
        <v>142</v>
      </c>
      <c r="F33" s="36"/>
      <c r="G33" s="10"/>
      <c r="H33" s="11" t="s">
        <v>205</v>
      </c>
      <c r="I33" s="11" t="str">
        <f t="shared" si="0"/>
        <v>Emergency</v>
      </c>
      <c r="J33" s="11" t="s">
        <v>709</v>
      </c>
      <c r="K33" s="11" t="s">
        <v>709</v>
      </c>
      <c r="L33" s="11" t="s">
        <v>206</v>
      </c>
      <c r="M33" s="37" t="s">
        <v>207</v>
      </c>
      <c r="N33" s="38" t="s">
        <v>208</v>
      </c>
      <c r="O33" s="39" t="s">
        <v>209</v>
      </c>
      <c r="P33" s="40"/>
    </row>
    <row r="34" spans="1:16" ht="45" x14ac:dyDescent="0.25">
      <c r="A34" s="34"/>
      <c r="B34" s="35" t="s">
        <v>204</v>
      </c>
      <c r="C34" s="35"/>
      <c r="D34" s="35"/>
      <c r="E34" s="10" t="s">
        <v>22</v>
      </c>
      <c r="F34" s="36"/>
      <c r="G34" s="10"/>
      <c r="H34" s="11" t="s">
        <v>210</v>
      </c>
      <c r="I34" s="11" t="str">
        <f t="shared" si="0"/>
        <v>Emergency</v>
      </c>
      <c r="J34" s="11" t="s">
        <v>784</v>
      </c>
      <c r="K34" s="11" t="s">
        <v>710</v>
      </c>
      <c r="L34" s="11" t="s">
        <v>211</v>
      </c>
      <c r="M34" s="37" t="s">
        <v>212</v>
      </c>
      <c r="N34" s="38" t="s">
        <v>213</v>
      </c>
      <c r="O34" s="39" t="s">
        <v>214</v>
      </c>
      <c r="P34" s="40"/>
    </row>
    <row r="35" spans="1:16" ht="30" x14ac:dyDescent="0.25">
      <c r="A35" s="34" t="s">
        <v>20</v>
      </c>
      <c r="B35" s="35" t="s">
        <v>215</v>
      </c>
      <c r="C35" s="35" t="s">
        <v>216</v>
      </c>
      <c r="D35" s="35" t="s">
        <v>215</v>
      </c>
      <c r="E35" s="10" t="s">
        <v>22</v>
      </c>
      <c r="F35" s="36" t="s">
        <v>90</v>
      </c>
      <c r="G35" s="10"/>
      <c r="H35" s="11" t="s">
        <v>217</v>
      </c>
      <c r="I35" s="11" t="str">
        <f t="shared" si="0"/>
        <v>Mounting</v>
      </c>
      <c r="J35" s="11" t="s">
        <v>711</v>
      </c>
      <c r="K35" s="11" t="s">
        <v>711</v>
      </c>
      <c r="L35" s="11" t="s">
        <v>216</v>
      </c>
      <c r="M35" s="37" t="s">
        <v>218</v>
      </c>
      <c r="N35" s="38" t="s">
        <v>219</v>
      </c>
      <c r="O35" s="39" t="s">
        <v>220</v>
      </c>
      <c r="P35" s="40"/>
    </row>
    <row r="36" spans="1:16" ht="30" x14ac:dyDescent="0.25">
      <c r="A36" s="34"/>
      <c r="B36" s="35" t="s">
        <v>221</v>
      </c>
      <c r="C36" s="35" t="s">
        <v>222</v>
      </c>
      <c r="D36" s="35" t="s">
        <v>223</v>
      </c>
      <c r="E36" s="10" t="s">
        <v>152</v>
      </c>
      <c r="F36" s="36"/>
      <c r="G36" s="10"/>
      <c r="H36" s="11" t="s">
        <v>224</v>
      </c>
      <c r="I36" s="11" t="str">
        <f t="shared" si="0"/>
        <v>Maintenance</v>
      </c>
      <c r="J36" s="11" t="s">
        <v>712</v>
      </c>
      <c r="K36" s="11" t="s">
        <v>712</v>
      </c>
      <c r="L36" s="11" t="s">
        <v>222</v>
      </c>
      <c r="M36" s="37" t="s">
        <v>225</v>
      </c>
      <c r="N36" s="38" t="s">
        <v>226</v>
      </c>
      <c r="O36" s="39"/>
      <c r="P36" s="40" t="s">
        <v>81</v>
      </c>
    </row>
    <row r="37" spans="1:16" ht="30" x14ac:dyDescent="0.25">
      <c r="A37" s="34"/>
      <c r="B37" s="35" t="s">
        <v>221</v>
      </c>
      <c r="C37" s="35" t="s">
        <v>227</v>
      </c>
      <c r="D37" s="35" t="s">
        <v>228</v>
      </c>
      <c r="E37" s="10" t="s">
        <v>152</v>
      </c>
      <c r="F37" s="36"/>
      <c r="G37" s="10"/>
      <c r="H37" s="11" t="s">
        <v>229</v>
      </c>
      <c r="I37" s="11" t="str">
        <f t="shared" si="0"/>
        <v>Maintenance</v>
      </c>
      <c r="J37" s="11" t="s">
        <v>713</v>
      </c>
      <c r="K37" s="11" t="s">
        <v>713</v>
      </c>
      <c r="L37" s="11" t="s">
        <v>227</v>
      </c>
      <c r="M37" s="37" t="s">
        <v>230</v>
      </c>
      <c r="N37" s="38" t="s">
        <v>231</v>
      </c>
      <c r="O37" s="39"/>
      <c r="P37" s="40" t="s">
        <v>81</v>
      </c>
    </row>
    <row r="38" spans="1:16" ht="30" x14ac:dyDescent="0.25">
      <c r="A38" s="34"/>
      <c r="B38" s="35" t="s">
        <v>221</v>
      </c>
      <c r="C38" s="35" t="s">
        <v>232</v>
      </c>
      <c r="D38" s="35" t="s">
        <v>233</v>
      </c>
      <c r="E38" s="10" t="s">
        <v>152</v>
      </c>
      <c r="F38" s="36"/>
      <c r="G38" s="10"/>
      <c r="H38" s="11" t="s">
        <v>234</v>
      </c>
      <c r="I38" s="11" t="str">
        <f t="shared" si="0"/>
        <v>Maintenance</v>
      </c>
      <c r="J38" s="11" t="s">
        <v>713</v>
      </c>
      <c r="K38" s="11" t="s">
        <v>713</v>
      </c>
      <c r="L38" s="11" t="s">
        <v>232</v>
      </c>
      <c r="M38" s="37" t="s">
        <v>235</v>
      </c>
      <c r="N38" s="38" t="s">
        <v>236</v>
      </c>
      <c r="O38" s="39"/>
      <c r="P38" s="40" t="s">
        <v>81</v>
      </c>
    </row>
    <row r="39" spans="1:16" ht="30" x14ac:dyDescent="0.25">
      <c r="A39" s="34"/>
      <c r="B39" s="35" t="s">
        <v>221</v>
      </c>
      <c r="C39" s="35" t="s">
        <v>237</v>
      </c>
      <c r="D39" s="35" t="s">
        <v>238</v>
      </c>
      <c r="E39" s="10" t="s">
        <v>152</v>
      </c>
      <c r="F39" s="36"/>
      <c r="G39" s="10"/>
      <c r="H39" s="11" t="s">
        <v>239</v>
      </c>
      <c r="I39" s="11" t="str">
        <f t="shared" si="0"/>
        <v>Maintenance</v>
      </c>
      <c r="J39" s="11" t="s">
        <v>713</v>
      </c>
      <c r="K39" s="11" t="s">
        <v>713</v>
      </c>
      <c r="L39" s="11" t="s">
        <v>237</v>
      </c>
      <c r="M39" s="37" t="s">
        <v>240</v>
      </c>
      <c r="N39" s="38" t="s">
        <v>241</v>
      </c>
      <c r="O39" s="39"/>
      <c r="P39" s="40" t="s">
        <v>81</v>
      </c>
    </row>
    <row r="40" spans="1:16" ht="30" x14ac:dyDescent="0.25">
      <c r="A40" s="34"/>
      <c r="B40" s="35" t="s">
        <v>221</v>
      </c>
      <c r="C40" s="35" t="s">
        <v>242</v>
      </c>
      <c r="D40" s="35" t="s">
        <v>243</v>
      </c>
      <c r="E40" s="10" t="s">
        <v>152</v>
      </c>
      <c r="F40" s="36"/>
      <c r="G40" s="10"/>
      <c r="H40" s="11" t="s">
        <v>244</v>
      </c>
      <c r="I40" s="11" t="str">
        <f t="shared" si="0"/>
        <v>Maintenance</v>
      </c>
      <c r="J40" s="11" t="s">
        <v>713</v>
      </c>
      <c r="K40" s="11" t="s">
        <v>713</v>
      </c>
      <c r="L40" s="11" t="s">
        <v>242</v>
      </c>
      <c r="M40" s="37" t="s">
        <v>245</v>
      </c>
      <c r="N40" s="38" t="s">
        <v>246</v>
      </c>
      <c r="O40" s="39"/>
      <c r="P40" s="40" t="s">
        <v>81</v>
      </c>
    </row>
    <row r="41" spans="1:16" x14ac:dyDescent="0.25">
      <c r="A41" s="34"/>
      <c r="B41" s="35" t="s">
        <v>221</v>
      </c>
      <c r="C41" s="35" t="s">
        <v>247</v>
      </c>
      <c r="D41" s="35" t="s">
        <v>248</v>
      </c>
      <c r="E41" s="10" t="s">
        <v>131</v>
      </c>
      <c r="F41" s="36" t="s">
        <v>90</v>
      </c>
      <c r="G41" s="10"/>
      <c r="H41" s="11" t="s">
        <v>249</v>
      </c>
      <c r="I41" s="11" t="str">
        <f t="shared" si="0"/>
        <v>Maintenance</v>
      </c>
      <c r="J41" s="11" t="s">
        <v>250</v>
      </c>
      <c r="K41" s="11" t="s">
        <v>250</v>
      </c>
      <c r="L41" s="11" t="s">
        <v>247</v>
      </c>
      <c r="M41" s="37" t="s">
        <v>251</v>
      </c>
      <c r="N41" s="38" t="s">
        <v>252</v>
      </c>
      <c r="O41" s="39"/>
      <c r="P41" s="40" t="s">
        <v>81</v>
      </c>
    </row>
    <row r="42" spans="1:16" ht="90" x14ac:dyDescent="0.25">
      <c r="A42" s="34"/>
      <c r="B42" s="35" t="s">
        <v>221</v>
      </c>
      <c r="C42" s="35"/>
      <c r="D42" s="35"/>
      <c r="E42" s="10"/>
      <c r="F42" s="36" t="s">
        <v>57</v>
      </c>
      <c r="G42" s="10" t="s">
        <v>253</v>
      </c>
      <c r="H42" s="11" t="s">
        <v>254</v>
      </c>
      <c r="I42" s="11" t="str">
        <f t="shared" si="0"/>
        <v>Maintenance</v>
      </c>
      <c r="J42" s="11" t="s">
        <v>714</v>
      </c>
      <c r="K42" s="11" t="s">
        <v>714</v>
      </c>
      <c r="L42" s="11" t="s">
        <v>59</v>
      </c>
      <c r="M42" s="37" t="s">
        <v>255</v>
      </c>
      <c r="N42" s="38" t="s">
        <v>256</v>
      </c>
      <c r="O42" s="39" t="s">
        <v>257</v>
      </c>
      <c r="P42" s="40"/>
    </row>
    <row r="43" spans="1:16" ht="105" x14ac:dyDescent="0.25">
      <c r="A43" s="34"/>
      <c r="B43" s="35" t="s">
        <v>221</v>
      </c>
      <c r="C43" s="35"/>
      <c r="D43" s="35"/>
      <c r="E43" s="10"/>
      <c r="F43" s="36" t="s">
        <v>57</v>
      </c>
      <c r="G43" s="10" t="s">
        <v>661</v>
      </c>
      <c r="H43" s="11" t="s">
        <v>258</v>
      </c>
      <c r="I43" s="11" t="str">
        <f t="shared" si="0"/>
        <v>Maintenance</v>
      </c>
      <c r="J43" s="11" t="s">
        <v>785</v>
      </c>
      <c r="K43" s="11" t="s">
        <v>715</v>
      </c>
      <c r="L43" s="11" t="s">
        <v>59</v>
      </c>
      <c r="M43" s="37" t="s">
        <v>259</v>
      </c>
      <c r="N43" s="38" t="s">
        <v>260</v>
      </c>
      <c r="O43" s="39" t="s">
        <v>261</v>
      </c>
      <c r="P43" s="40"/>
    </row>
    <row r="44" spans="1:16" ht="30" x14ac:dyDescent="0.25">
      <c r="A44" s="34" t="s">
        <v>20</v>
      </c>
      <c r="B44" s="35" t="s">
        <v>21</v>
      </c>
      <c r="C44" s="35"/>
      <c r="D44" s="35"/>
      <c r="E44" s="10" t="s">
        <v>22</v>
      </c>
      <c r="F44" s="36"/>
      <c r="G44" s="10"/>
      <c r="H44" s="11" t="s">
        <v>262</v>
      </c>
      <c r="I44" s="11" t="str">
        <f t="shared" si="0"/>
        <v>General</v>
      </c>
      <c r="J44" s="11" t="s">
        <v>263</v>
      </c>
      <c r="K44" s="11" t="s">
        <v>264</v>
      </c>
      <c r="L44" s="11" t="s">
        <v>265</v>
      </c>
      <c r="M44" s="37" t="s">
        <v>266</v>
      </c>
      <c r="N44" s="38" t="s">
        <v>267</v>
      </c>
      <c r="O44" s="39" t="s">
        <v>268</v>
      </c>
      <c r="P44" s="40"/>
    </row>
    <row r="45" spans="1:16" ht="30" x14ac:dyDescent="0.25">
      <c r="A45" s="34"/>
      <c r="B45" s="35" t="s">
        <v>21</v>
      </c>
      <c r="C45" s="35" t="s">
        <v>269</v>
      </c>
      <c r="D45" s="35" t="s">
        <v>46</v>
      </c>
      <c r="E45" s="10" t="s">
        <v>22</v>
      </c>
      <c r="F45" s="36"/>
      <c r="G45" s="10"/>
      <c r="H45" s="11" t="s">
        <v>270</v>
      </c>
      <c r="I45" s="11" t="str">
        <f t="shared" si="0"/>
        <v>General</v>
      </c>
      <c r="J45" s="11" t="s">
        <v>271</v>
      </c>
      <c r="K45" s="11" t="s">
        <v>699</v>
      </c>
      <c r="L45" s="11" t="s">
        <v>269</v>
      </c>
      <c r="M45" s="37" t="s">
        <v>272</v>
      </c>
      <c r="N45" s="38" t="s">
        <v>273</v>
      </c>
      <c r="O45" s="39" t="s">
        <v>274</v>
      </c>
      <c r="P45" s="40"/>
    </row>
    <row r="46" spans="1:16" ht="30" x14ac:dyDescent="0.25">
      <c r="A46" s="34"/>
      <c r="B46" s="35" t="s">
        <v>75</v>
      </c>
      <c r="C46" s="35"/>
      <c r="D46" s="35"/>
      <c r="E46" s="10" t="s">
        <v>142</v>
      </c>
      <c r="F46" s="36"/>
      <c r="G46" s="10"/>
      <c r="H46" s="11" t="s">
        <v>275</v>
      </c>
      <c r="I46" s="11" t="str">
        <f t="shared" si="0"/>
        <v>Electrical</v>
      </c>
      <c r="J46" s="11" t="s">
        <v>276</v>
      </c>
      <c r="K46" s="11" t="s">
        <v>716</v>
      </c>
      <c r="L46" s="11" t="s">
        <v>277</v>
      </c>
      <c r="M46" s="37" t="s">
        <v>278</v>
      </c>
      <c r="N46" s="38" t="s">
        <v>279</v>
      </c>
      <c r="O46" s="39"/>
      <c r="P46" s="40" t="s">
        <v>81</v>
      </c>
    </row>
    <row r="47" spans="1:16" ht="45" x14ac:dyDescent="0.25">
      <c r="A47" s="34"/>
      <c r="B47" s="35" t="s">
        <v>75</v>
      </c>
      <c r="C47" s="35"/>
      <c r="D47" s="35"/>
      <c r="E47" s="10" t="s">
        <v>142</v>
      </c>
      <c r="F47" s="36"/>
      <c r="G47" s="10"/>
      <c r="H47" s="11" t="s">
        <v>280</v>
      </c>
      <c r="I47" s="11" t="str">
        <f t="shared" si="0"/>
        <v>Electrical</v>
      </c>
      <c r="J47" s="11" t="s">
        <v>786</v>
      </c>
      <c r="K47" s="11" t="s">
        <v>717</v>
      </c>
      <c r="L47" s="11" t="s">
        <v>281</v>
      </c>
      <c r="M47" s="37" t="s">
        <v>282</v>
      </c>
      <c r="N47" s="38" t="s">
        <v>283</v>
      </c>
      <c r="O47" s="39"/>
      <c r="P47" s="40" t="s">
        <v>81</v>
      </c>
    </row>
    <row r="48" spans="1:16" ht="30" x14ac:dyDescent="0.25">
      <c r="A48" s="34"/>
      <c r="B48" s="35" t="s">
        <v>75</v>
      </c>
      <c r="C48" s="35"/>
      <c r="D48" s="35"/>
      <c r="E48" s="10" t="s">
        <v>142</v>
      </c>
      <c r="F48" s="36"/>
      <c r="G48" s="10"/>
      <c r="H48" s="11" t="s">
        <v>284</v>
      </c>
      <c r="I48" s="11" t="str">
        <f t="shared" si="0"/>
        <v>Electrical</v>
      </c>
      <c r="J48" s="11" t="s">
        <v>718</v>
      </c>
      <c r="K48" s="11" t="s">
        <v>718</v>
      </c>
      <c r="L48" s="11" t="s">
        <v>285</v>
      </c>
      <c r="M48" s="37" t="s">
        <v>286</v>
      </c>
      <c r="N48" s="38" t="s">
        <v>287</v>
      </c>
      <c r="O48" s="39"/>
      <c r="P48" s="40" t="s">
        <v>81</v>
      </c>
    </row>
    <row r="49" spans="1:16" ht="30" x14ac:dyDescent="0.25">
      <c r="A49" s="34"/>
      <c r="B49" s="35" t="s">
        <v>75</v>
      </c>
      <c r="C49" s="35"/>
      <c r="D49" s="35"/>
      <c r="E49" s="10" t="s">
        <v>142</v>
      </c>
      <c r="F49" s="36"/>
      <c r="G49" s="10"/>
      <c r="H49" s="11" t="s">
        <v>288</v>
      </c>
      <c r="I49" s="11" t="str">
        <f t="shared" si="0"/>
        <v>Electrical</v>
      </c>
      <c r="J49" s="11" t="s">
        <v>719</v>
      </c>
      <c r="K49" s="11" t="s">
        <v>719</v>
      </c>
      <c r="L49" s="11" t="s">
        <v>289</v>
      </c>
      <c r="M49" s="37" t="s">
        <v>290</v>
      </c>
      <c r="N49" s="38" t="s">
        <v>291</v>
      </c>
      <c r="O49" s="39"/>
      <c r="P49" s="40" t="s">
        <v>81</v>
      </c>
    </row>
    <row r="50" spans="1:16" ht="30" x14ac:dyDescent="0.25">
      <c r="A50" s="34"/>
      <c r="B50" s="35" t="s">
        <v>75</v>
      </c>
      <c r="C50" s="35"/>
      <c r="D50" s="35"/>
      <c r="E50" s="10" t="s">
        <v>142</v>
      </c>
      <c r="F50" s="36"/>
      <c r="G50" s="10"/>
      <c r="H50" s="11" t="s">
        <v>292</v>
      </c>
      <c r="I50" s="11" t="str">
        <f t="shared" si="0"/>
        <v>Electrical</v>
      </c>
      <c r="J50" s="11" t="s">
        <v>720</v>
      </c>
      <c r="K50" s="11" t="s">
        <v>720</v>
      </c>
      <c r="L50" s="11" t="s">
        <v>293</v>
      </c>
      <c r="M50" s="37" t="s">
        <v>294</v>
      </c>
      <c r="N50" s="38" t="s">
        <v>295</v>
      </c>
      <c r="O50" s="39"/>
      <c r="P50" s="40" t="s">
        <v>81</v>
      </c>
    </row>
    <row r="51" spans="1:16" ht="45" x14ac:dyDescent="0.25">
      <c r="A51" s="34"/>
      <c r="B51" s="35" t="s">
        <v>75</v>
      </c>
      <c r="C51" s="35"/>
      <c r="D51" s="35"/>
      <c r="E51" s="10" t="s">
        <v>142</v>
      </c>
      <c r="F51" s="36"/>
      <c r="G51" s="10"/>
      <c r="H51" s="11" t="s">
        <v>296</v>
      </c>
      <c r="I51" s="11" t="str">
        <f t="shared" si="0"/>
        <v>Electrical</v>
      </c>
      <c r="J51" s="11" t="s">
        <v>787</v>
      </c>
      <c r="K51" s="11" t="s">
        <v>721</v>
      </c>
      <c r="L51" s="11" t="s">
        <v>297</v>
      </c>
      <c r="M51" s="37" t="s">
        <v>298</v>
      </c>
      <c r="N51" s="38" t="s">
        <v>299</v>
      </c>
      <c r="O51" s="39"/>
      <c r="P51" s="40" t="s">
        <v>81</v>
      </c>
    </row>
    <row r="52" spans="1:16" ht="30" x14ac:dyDescent="0.25">
      <c r="A52" s="34"/>
      <c r="B52" s="35" t="s">
        <v>75</v>
      </c>
      <c r="C52" s="35"/>
      <c r="D52" s="35"/>
      <c r="E52" s="10" t="s">
        <v>142</v>
      </c>
      <c r="F52" s="36"/>
      <c r="G52" s="10"/>
      <c r="H52" s="11" t="s">
        <v>300</v>
      </c>
      <c r="I52" s="11" t="str">
        <f t="shared" si="0"/>
        <v>Electrical</v>
      </c>
      <c r="J52" s="11" t="s">
        <v>722</v>
      </c>
      <c r="K52" s="11" t="s">
        <v>722</v>
      </c>
      <c r="L52" s="11" t="s">
        <v>301</v>
      </c>
      <c r="M52" s="37" t="s">
        <v>302</v>
      </c>
      <c r="N52" s="38" t="s">
        <v>303</v>
      </c>
      <c r="O52" s="39"/>
      <c r="P52" s="40" t="s">
        <v>81</v>
      </c>
    </row>
    <row r="53" spans="1:16" ht="30" x14ac:dyDescent="0.25">
      <c r="A53" s="34"/>
      <c r="B53" s="35" t="s">
        <v>109</v>
      </c>
      <c r="C53" s="35"/>
      <c r="D53" s="35"/>
      <c r="E53" s="10" t="s">
        <v>152</v>
      </c>
      <c r="F53" s="36"/>
      <c r="G53" s="10"/>
      <c r="H53" s="11" t="s">
        <v>304</v>
      </c>
      <c r="I53" s="11" t="str">
        <f t="shared" si="0"/>
        <v>Mechanical</v>
      </c>
      <c r="J53" s="11" t="s">
        <v>723</v>
      </c>
      <c r="K53" s="11" t="s">
        <v>723</v>
      </c>
      <c r="L53" s="11" t="s">
        <v>305</v>
      </c>
      <c r="M53" s="37" t="s">
        <v>306</v>
      </c>
      <c r="N53" s="38" t="s">
        <v>307</v>
      </c>
      <c r="O53" s="39" t="s">
        <v>308</v>
      </c>
      <c r="P53" s="40"/>
    </row>
    <row r="54" spans="1:16" ht="60" x14ac:dyDescent="0.25">
      <c r="A54" s="34"/>
      <c r="B54" s="35" t="s">
        <v>109</v>
      </c>
      <c r="C54" s="35"/>
      <c r="D54" s="35"/>
      <c r="E54" s="10" t="s">
        <v>152</v>
      </c>
      <c r="F54" s="36"/>
      <c r="G54" s="10"/>
      <c r="H54" s="11" t="s">
        <v>309</v>
      </c>
      <c r="I54" s="11" t="str">
        <f t="shared" si="0"/>
        <v>Mechanical</v>
      </c>
      <c r="J54" s="11" t="s">
        <v>724</v>
      </c>
      <c r="K54" s="11" t="s">
        <v>724</v>
      </c>
      <c r="L54" s="11" t="s">
        <v>310</v>
      </c>
      <c r="M54" s="37" t="s">
        <v>311</v>
      </c>
      <c r="N54" s="38" t="s">
        <v>312</v>
      </c>
      <c r="O54" s="39" t="s">
        <v>313</v>
      </c>
      <c r="P54" s="40"/>
    </row>
    <row r="55" spans="1:16" ht="30" x14ac:dyDescent="0.25">
      <c r="A55" s="34"/>
      <c r="B55" s="35" t="s">
        <v>109</v>
      </c>
      <c r="C55" s="35"/>
      <c r="D55" s="35"/>
      <c r="E55" s="10" t="s">
        <v>152</v>
      </c>
      <c r="F55" s="36"/>
      <c r="G55" s="10"/>
      <c r="H55" s="11" t="s">
        <v>314</v>
      </c>
      <c r="I55" s="11" t="str">
        <f t="shared" si="0"/>
        <v>Mechanical</v>
      </c>
      <c r="J55" s="11" t="s">
        <v>725</v>
      </c>
      <c r="K55" s="11" t="s">
        <v>725</v>
      </c>
      <c r="L55" s="11" t="s">
        <v>315</v>
      </c>
      <c r="M55" s="37" t="s">
        <v>316</v>
      </c>
      <c r="N55" s="38" t="s">
        <v>317</v>
      </c>
      <c r="O55" s="39" t="s">
        <v>318</v>
      </c>
      <c r="P55" s="40"/>
    </row>
    <row r="56" spans="1:16" ht="60" x14ac:dyDescent="0.25">
      <c r="A56" s="34"/>
      <c r="B56" s="35" t="s">
        <v>109</v>
      </c>
      <c r="C56" s="35"/>
      <c r="D56" s="35"/>
      <c r="E56" s="10" t="s">
        <v>152</v>
      </c>
      <c r="F56" s="36"/>
      <c r="G56" s="10"/>
      <c r="H56" s="11" t="s">
        <v>319</v>
      </c>
      <c r="I56" s="11" t="str">
        <f t="shared" si="0"/>
        <v>Mechanical</v>
      </c>
      <c r="J56" s="11" t="s">
        <v>704</v>
      </c>
      <c r="K56" s="11" t="s">
        <v>704</v>
      </c>
      <c r="L56" s="11" t="s">
        <v>320</v>
      </c>
      <c r="M56" s="37" t="s">
        <v>154</v>
      </c>
      <c r="N56" s="38" t="s">
        <v>155</v>
      </c>
      <c r="O56" s="39"/>
      <c r="P56" s="40"/>
    </row>
    <row r="57" spans="1:16" ht="30" x14ac:dyDescent="0.25">
      <c r="A57" s="34"/>
      <c r="B57" s="35" t="s">
        <v>204</v>
      </c>
      <c r="C57" s="35"/>
      <c r="D57" s="35"/>
      <c r="E57" s="10" t="s">
        <v>131</v>
      </c>
      <c r="F57" s="36"/>
      <c r="G57" s="10"/>
      <c r="H57" s="11" t="s">
        <v>321</v>
      </c>
      <c r="I57" s="11" t="str">
        <f t="shared" si="0"/>
        <v>Emergency</v>
      </c>
      <c r="J57" s="11" t="s">
        <v>726</v>
      </c>
      <c r="K57" s="11" t="s">
        <v>726</v>
      </c>
      <c r="L57" s="11" t="s">
        <v>322</v>
      </c>
      <c r="M57" s="37" t="s">
        <v>323</v>
      </c>
      <c r="N57" s="38" t="s">
        <v>324</v>
      </c>
      <c r="O57" s="39"/>
      <c r="P57" s="40" t="s">
        <v>81</v>
      </c>
    </row>
    <row r="58" spans="1:16" ht="30" x14ac:dyDescent="0.25">
      <c r="A58" s="34"/>
      <c r="B58" s="35" t="s">
        <v>204</v>
      </c>
      <c r="C58" s="35"/>
      <c r="D58" s="35"/>
      <c r="E58" s="10" t="s">
        <v>22</v>
      </c>
      <c r="F58" s="36"/>
      <c r="G58" s="10"/>
      <c r="H58" s="11" t="s">
        <v>325</v>
      </c>
      <c r="I58" s="11" t="str">
        <f t="shared" si="0"/>
        <v>Emergency</v>
      </c>
      <c r="J58" s="11" t="s">
        <v>326</v>
      </c>
      <c r="K58" s="11" t="s">
        <v>326</v>
      </c>
      <c r="L58" s="11" t="s">
        <v>327</v>
      </c>
      <c r="M58" s="37" t="s">
        <v>328</v>
      </c>
      <c r="N58" s="38" t="s">
        <v>329</v>
      </c>
      <c r="O58" s="39"/>
      <c r="P58" s="40" t="s">
        <v>81</v>
      </c>
    </row>
    <row r="59" spans="1:16" ht="30" x14ac:dyDescent="0.25">
      <c r="A59" s="34"/>
      <c r="B59" s="35" t="s">
        <v>204</v>
      </c>
      <c r="C59" s="35"/>
      <c r="D59" s="35"/>
      <c r="E59" s="10" t="s">
        <v>97</v>
      </c>
      <c r="F59" s="36"/>
      <c r="G59" s="10"/>
      <c r="H59" s="11" t="s">
        <v>330</v>
      </c>
      <c r="I59" s="11" t="str">
        <f t="shared" si="0"/>
        <v>Emergency</v>
      </c>
      <c r="J59" s="11"/>
      <c r="K59" s="11"/>
      <c r="L59" s="11" t="s">
        <v>331</v>
      </c>
      <c r="M59" s="37" t="s">
        <v>332</v>
      </c>
      <c r="N59" s="38" t="s">
        <v>333</v>
      </c>
      <c r="O59" s="39"/>
      <c r="P59" s="40" t="s">
        <v>81</v>
      </c>
    </row>
    <row r="60" spans="1:16" ht="45" x14ac:dyDescent="0.25">
      <c r="A60" s="34"/>
      <c r="B60" s="35" t="s">
        <v>204</v>
      </c>
      <c r="C60" s="35"/>
      <c r="D60" s="35"/>
      <c r="E60" s="10" t="s">
        <v>22</v>
      </c>
      <c r="F60" s="36"/>
      <c r="G60" s="10"/>
      <c r="H60" s="11" t="s">
        <v>334</v>
      </c>
      <c r="I60" s="11" t="str">
        <f t="shared" si="0"/>
        <v>Emergency</v>
      </c>
      <c r="J60" s="11" t="s">
        <v>335</v>
      </c>
      <c r="K60" s="11" t="s">
        <v>727</v>
      </c>
      <c r="L60" s="11" t="s">
        <v>336</v>
      </c>
      <c r="M60" s="37" t="s">
        <v>337</v>
      </c>
      <c r="N60" s="38" t="s">
        <v>338</v>
      </c>
      <c r="O60" s="39"/>
      <c r="P60" s="40" t="s">
        <v>81</v>
      </c>
    </row>
    <row r="61" spans="1:16" ht="75" x14ac:dyDescent="0.25">
      <c r="A61" s="34"/>
      <c r="B61" s="35" t="s">
        <v>204</v>
      </c>
      <c r="C61" s="35"/>
      <c r="D61" s="35"/>
      <c r="E61" s="10" t="s">
        <v>142</v>
      </c>
      <c r="F61" s="36"/>
      <c r="G61" s="10"/>
      <c r="H61" s="11" t="s">
        <v>339</v>
      </c>
      <c r="I61" s="11" t="str">
        <f t="shared" si="0"/>
        <v>Emergency</v>
      </c>
      <c r="J61" s="11" t="s">
        <v>788</v>
      </c>
      <c r="K61" s="11" t="s">
        <v>728</v>
      </c>
      <c r="L61" s="11" t="s">
        <v>340</v>
      </c>
      <c r="M61" s="37" t="s">
        <v>341</v>
      </c>
      <c r="N61" s="38" t="s">
        <v>342</v>
      </c>
      <c r="O61" s="39" t="s">
        <v>343</v>
      </c>
      <c r="P61" s="40"/>
    </row>
    <row r="62" spans="1:16" ht="30" x14ac:dyDescent="0.25">
      <c r="A62" s="34"/>
      <c r="B62" s="35" t="s">
        <v>221</v>
      </c>
      <c r="C62" s="35"/>
      <c r="D62" s="35"/>
      <c r="E62" s="10" t="s">
        <v>142</v>
      </c>
      <c r="F62" s="36"/>
      <c r="G62" s="10"/>
      <c r="H62" s="11" t="s">
        <v>344</v>
      </c>
      <c r="I62" s="11" t="str">
        <f t="shared" si="0"/>
        <v>Maintenance</v>
      </c>
      <c r="J62" s="11"/>
      <c r="K62" s="11"/>
      <c r="L62" s="51" t="s">
        <v>345</v>
      </c>
      <c r="M62" s="37" t="s">
        <v>346</v>
      </c>
      <c r="N62" s="38" t="s">
        <v>347</v>
      </c>
      <c r="O62" s="39"/>
      <c r="P62" s="40" t="s">
        <v>81</v>
      </c>
    </row>
    <row r="63" spans="1:16" ht="45" x14ac:dyDescent="0.25">
      <c r="A63" s="34"/>
      <c r="B63" s="35" t="s">
        <v>221</v>
      </c>
      <c r="C63" s="35"/>
      <c r="D63" s="35"/>
      <c r="E63" s="10" t="s">
        <v>348</v>
      </c>
      <c r="F63" s="36"/>
      <c r="G63" s="10"/>
      <c r="H63" s="11" t="s">
        <v>349</v>
      </c>
      <c r="I63" s="11" t="str">
        <f t="shared" si="0"/>
        <v>Maintenance</v>
      </c>
      <c r="J63" s="11" t="s">
        <v>789</v>
      </c>
      <c r="K63" s="11" t="s">
        <v>729</v>
      </c>
      <c r="L63" s="11" t="s">
        <v>350</v>
      </c>
      <c r="M63" s="37" t="s">
        <v>351</v>
      </c>
      <c r="N63" s="38" t="s">
        <v>352</v>
      </c>
      <c r="O63" s="39"/>
      <c r="P63" s="40" t="s">
        <v>81</v>
      </c>
    </row>
    <row r="64" spans="1:16" ht="105" x14ac:dyDescent="0.25">
      <c r="A64" s="34"/>
      <c r="B64" s="35" t="s">
        <v>221</v>
      </c>
      <c r="C64" s="35"/>
      <c r="D64" s="35"/>
      <c r="E64" s="10" t="s">
        <v>131</v>
      </c>
      <c r="F64" s="36"/>
      <c r="G64" s="10"/>
      <c r="H64" s="11" t="s">
        <v>353</v>
      </c>
      <c r="I64" s="11" t="str">
        <f t="shared" si="0"/>
        <v>Maintenance</v>
      </c>
      <c r="J64" s="11" t="s">
        <v>790</v>
      </c>
      <c r="K64" s="11" t="s">
        <v>730</v>
      </c>
      <c r="L64" s="11" t="s">
        <v>354</v>
      </c>
      <c r="M64" s="37" t="s">
        <v>355</v>
      </c>
      <c r="N64" s="38" t="s">
        <v>356</v>
      </c>
      <c r="O64" s="39" t="s">
        <v>357</v>
      </c>
      <c r="P64" s="40"/>
    </row>
    <row r="65" spans="1:16" ht="30" x14ac:dyDescent="0.25">
      <c r="A65" s="34"/>
      <c r="B65" s="35" t="s">
        <v>358</v>
      </c>
      <c r="C65" s="35"/>
      <c r="D65" s="35"/>
      <c r="E65" s="10" t="s">
        <v>131</v>
      </c>
      <c r="F65" s="36"/>
      <c r="G65" s="10"/>
      <c r="H65" s="11" t="s">
        <v>359</v>
      </c>
      <c r="I65" s="11" t="str">
        <f t="shared" si="0"/>
        <v>Acoustics</v>
      </c>
      <c r="J65" s="11" t="s">
        <v>731</v>
      </c>
      <c r="K65" s="11" t="s">
        <v>731</v>
      </c>
      <c r="L65" s="11" t="s">
        <v>360</v>
      </c>
      <c r="M65" s="37" t="s">
        <v>361</v>
      </c>
      <c r="N65" s="38" t="s">
        <v>362</v>
      </c>
      <c r="O65" s="39"/>
      <c r="P65" s="40" t="s">
        <v>81</v>
      </c>
    </row>
    <row r="66" spans="1:16" ht="60" x14ac:dyDescent="0.25">
      <c r="A66" s="34"/>
      <c r="B66" s="35" t="s">
        <v>358</v>
      </c>
      <c r="C66" s="35"/>
      <c r="D66" s="35"/>
      <c r="E66" s="10" t="s">
        <v>22</v>
      </c>
      <c r="F66" s="36"/>
      <c r="G66" s="10"/>
      <c r="H66" s="11" t="s">
        <v>363</v>
      </c>
      <c r="I66" s="11" t="str">
        <f t="shared" si="0"/>
        <v>Acoustics</v>
      </c>
      <c r="J66" s="11" t="s">
        <v>791</v>
      </c>
      <c r="K66" s="11" t="s">
        <v>732</v>
      </c>
      <c r="L66" s="11" t="s">
        <v>364</v>
      </c>
      <c r="M66" s="37" t="s">
        <v>365</v>
      </c>
      <c r="N66" s="38" t="s">
        <v>366</v>
      </c>
      <c r="O66" s="39" t="s">
        <v>367</v>
      </c>
      <c r="P66" s="40"/>
    </row>
    <row r="67" spans="1:16" ht="45" x14ac:dyDescent="0.25">
      <c r="A67" s="34" t="s">
        <v>20</v>
      </c>
      <c r="B67" s="35" t="s">
        <v>109</v>
      </c>
      <c r="C67" s="35" t="s">
        <v>368</v>
      </c>
      <c r="D67" s="35" t="s">
        <v>369</v>
      </c>
      <c r="E67" s="10" t="s">
        <v>65</v>
      </c>
      <c r="F67" s="36"/>
      <c r="G67" s="10"/>
      <c r="H67" s="11" t="s">
        <v>370</v>
      </c>
      <c r="I67" s="11" t="str">
        <f t="shared" si="0"/>
        <v>Mechanical</v>
      </c>
      <c r="J67" s="11" t="s">
        <v>371</v>
      </c>
      <c r="K67" s="11" t="s">
        <v>733</v>
      </c>
      <c r="L67" s="11" t="s">
        <v>368</v>
      </c>
      <c r="M67" s="37" t="s">
        <v>372</v>
      </c>
      <c r="N67" s="38" t="s">
        <v>373</v>
      </c>
      <c r="O67" s="39" t="s">
        <v>374</v>
      </c>
      <c r="P67" s="40" t="s">
        <v>700</v>
      </c>
    </row>
    <row r="68" spans="1:16" ht="30" x14ac:dyDescent="0.25">
      <c r="A68" s="34"/>
      <c r="B68" s="35" t="s">
        <v>109</v>
      </c>
      <c r="C68" s="35"/>
      <c r="D68" s="35"/>
      <c r="E68" s="10" t="s">
        <v>142</v>
      </c>
      <c r="F68" s="36"/>
      <c r="G68" s="10"/>
      <c r="H68" s="11" t="s">
        <v>375</v>
      </c>
      <c r="I68" s="11" t="str">
        <f t="shared" si="0"/>
        <v>Mechanical</v>
      </c>
      <c r="J68" s="11" t="s">
        <v>734</v>
      </c>
      <c r="K68" s="11" t="s">
        <v>734</v>
      </c>
      <c r="L68" s="11" t="s">
        <v>376</v>
      </c>
      <c r="M68" s="37" t="s">
        <v>377</v>
      </c>
      <c r="N68" s="38" t="s">
        <v>378</v>
      </c>
      <c r="O68" s="39"/>
      <c r="P68" s="40" t="s">
        <v>81</v>
      </c>
    </row>
    <row r="69" spans="1:16" ht="45" x14ac:dyDescent="0.25">
      <c r="A69" s="34"/>
      <c r="B69" s="35" t="s">
        <v>109</v>
      </c>
      <c r="C69" s="35"/>
      <c r="D69" s="35"/>
      <c r="E69" s="10" t="s">
        <v>152</v>
      </c>
      <c r="F69" s="36"/>
      <c r="G69" s="10"/>
      <c r="H69" s="11" t="s">
        <v>379</v>
      </c>
      <c r="I69" s="11" t="str">
        <f t="shared" ref="I69:I125" si="1">B69</f>
        <v>Mechanical</v>
      </c>
      <c r="J69" s="11" t="s">
        <v>380</v>
      </c>
      <c r="K69" s="11" t="s">
        <v>735</v>
      </c>
      <c r="L69" s="11" t="s">
        <v>381</v>
      </c>
      <c r="M69" s="37" t="s">
        <v>382</v>
      </c>
      <c r="N69" s="38" t="s">
        <v>383</v>
      </c>
      <c r="O69" s="39"/>
      <c r="P69" s="40" t="s">
        <v>81</v>
      </c>
    </row>
    <row r="70" spans="1:16" x14ac:dyDescent="0.25">
      <c r="A70" s="34"/>
      <c r="B70" s="35" t="s">
        <v>109</v>
      </c>
      <c r="C70" s="35"/>
      <c r="D70" s="35"/>
      <c r="E70" s="10" t="s">
        <v>384</v>
      </c>
      <c r="F70" s="36"/>
      <c r="G70" s="10"/>
      <c r="H70" s="11" t="s">
        <v>385</v>
      </c>
      <c r="I70" s="11" t="str">
        <f t="shared" si="1"/>
        <v>Mechanical</v>
      </c>
      <c r="J70" s="11" t="s">
        <v>386</v>
      </c>
      <c r="K70" s="11" t="s">
        <v>386</v>
      </c>
      <c r="L70" s="11" t="s">
        <v>387</v>
      </c>
      <c r="M70" s="37"/>
      <c r="N70" s="38"/>
      <c r="O70" s="39"/>
      <c r="P70" s="40"/>
    </row>
    <row r="71" spans="1:16" ht="30" x14ac:dyDescent="0.25">
      <c r="A71" s="34"/>
      <c r="B71" s="35" t="s">
        <v>109</v>
      </c>
      <c r="C71" s="35"/>
      <c r="D71" s="35"/>
      <c r="E71" s="10" t="s">
        <v>384</v>
      </c>
      <c r="F71" s="36"/>
      <c r="G71" s="10"/>
      <c r="H71" s="11" t="s">
        <v>662</v>
      </c>
      <c r="I71" s="11" t="str">
        <f t="shared" si="1"/>
        <v>Mechanical</v>
      </c>
      <c r="J71" s="11" t="s">
        <v>692</v>
      </c>
      <c r="K71" s="11" t="s">
        <v>388</v>
      </c>
      <c r="L71" s="11" t="s">
        <v>389</v>
      </c>
      <c r="M71" s="37" t="s">
        <v>390</v>
      </c>
      <c r="N71" s="38" t="s">
        <v>391</v>
      </c>
      <c r="O71" s="39" t="s">
        <v>392</v>
      </c>
      <c r="P71" s="40"/>
    </row>
    <row r="72" spans="1:16" x14ac:dyDescent="0.25">
      <c r="A72" s="34"/>
      <c r="B72" s="35" t="s">
        <v>109</v>
      </c>
      <c r="C72" s="35"/>
      <c r="D72" s="35"/>
      <c r="E72" s="10" t="s">
        <v>142</v>
      </c>
      <c r="F72" s="36"/>
      <c r="G72" s="10"/>
      <c r="H72" s="11" t="s">
        <v>393</v>
      </c>
      <c r="I72" s="11" t="str">
        <f t="shared" si="1"/>
        <v>Mechanical</v>
      </c>
      <c r="J72" s="11" t="s">
        <v>394</v>
      </c>
      <c r="K72" s="11" t="s">
        <v>395</v>
      </c>
      <c r="L72" s="11" t="s">
        <v>396</v>
      </c>
      <c r="M72" s="37" t="s">
        <v>397</v>
      </c>
      <c r="N72" s="38" t="s">
        <v>398</v>
      </c>
      <c r="O72" s="39"/>
      <c r="P72" s="40" t="s">
        <v>81</v>
      </c>
    </row>
    <row r="73" spans="1:16" ht="30" x14ac:dyDescent="0.25">
      <c r="A73" s="34"/>
      <c r="B73" s="35" t="s">
        <v>109</v>
      </c>
      <c r="C73" s="35"/>
      <c r="D73" s="35"/>
      <c r="E73" s="10" t="s">
        <v>124</v>
      </c>
      <c r="F73" s="36"/>
      <c r="G73" s="10"/>
      <c r="H73" s="11" t="s">
        <v>399</v>
      </c>
      <c r="I73" s="11" t="str">
        <f t="shared" si="1"/>
        <v>Mechanical</v>
      </c>
      <c r="J73" s="11" t="s">
        <v>693</v>
      </c>
      <c r="K73" s="11" t="s">
        <v>736</v>
      </c>
      <c r="L73" s="11" t="s">
        <v>400</v>
      </c>
      <c r="M73" s="37" t="s">
        <v>401</v>
      </c>
      <c r="N73" s="38" t="s">
        <v>402</v>
      </c>
      <c r="O73" s="39"/>
      <c r="P73" s="40" t="s">
        <v>81</v>
      </c>
    </row>
    <row r="74" spans="1:16" ht="30" x14ac:dyDescent="0.25">
      <c r="A74" s="34"/>
      <c r="B74" s="35" t="s">
        <v>109</v>
      </c>
      <c r="C74" s="35"/>
      <c r="D74" s="35"/>
      <c r="E74" s="10" t="s">
        <v>152</v>
      </c>
      <c r="F74" s="36"/>
      <c r="G74" s="10"/>
      <c r="H74" s="11" t="s">
        <v>403</v>
      </c>
      <c r="I74" s="11" t="str">
        <f t="shared" si="1"/>
        <v>Mechanical</v>
      </c>
      <c r="J74" s="11" t="s">
        <v>737</v>
      </c>
      <c r="K74" s="11" t="s">
        <v>737</v>
      </c>
      <c r="L74" s="51" t="s">
        <v>404</v>
      </c>
      <c r="M74" s="37" t="s">
        <v>405</v>
      </c>
      <c r="N74" s="38" t="s">
        <v>406</v>
      </c>
      <c r="O74" s="39"/>
      <c r="P74" s="40" t="s">
        <v>81</v>
      </c>
    </row>
    <row r="75" spans="1:16" ht="30" x14ac:dyDescent="0.25">
      <c r="A75" s="34"/>
      <c r="B75" s="35" t="s">
        <v>109</v>
      </c>
      <c r="C75" s="35"/>
      <c r="D75" s="35"/>
      <c r="E75" s="10" t="s">
        <v>152</v>
      </c>
      <c r="F75" s="36"/>
      <c r="G75" s="10"/>
      <c r="H75" s="11" t="s">
        <v>407</v>
      </c>
      <c r="I75" s="11" t="str">
        <f t="shared" si="1"/>
        <v>Mechanical</v>
      </c>
      <c r="J75" s="11" t="s">
        <v>738</v>
      </c>
      <c r="K75" s="11" t="s">
        <v>738</v>
      </c>
      <c r="L75" s="11" t="s">
        <v>408</v>
      </c>
      <c r="M75" s="37" t="s">
        <v>409</v>
      </c>
      <c r="N75" s="38" t="s">
        <v>410</v>
      </c>
      <c r="O75" s="39"/>
      <c r="P75" s="40" t="s">
        <v>81</v>
      </c>
    </row>
    <row r="76" spans="1:16" ht="30" x14ac:dyDescent="0.25">
      <c r="A76" s="34"/>
      <c r="B76" s="35" t="s">
        <v>109</v>
      </c>
      <c r="C76" s="35" t="s">
        <v>411</v>
      </c>
      <c r="D76" s="35" t="s">
        <v>412</v>
      </c>
      <c r="E76" s="10" t="s">
        <v>413</v>
      </c>
      <c r="F76" s="36"/>
      <c r="G76" s="10"/>
      <c r="H76" s="11" t="s">
        <v>414</v>
      </c>
      <c r="I76" s="11" t="str">
        <f t="shared" si="1"/>
        <v>Mechanical</v>
      </c>
      <c r="J76" s="11" t="s">
        <v>739</v>
      </c>
      <c r="K76" s="11" t="s">
        <v>739</v>
      </c>
      <c r="L76" s="11" t="s">
        <v>415</v>
      </c>
      <c r="M76" s="37" t="s">
        <v>416</v>
      </c>
      <c r="N76" s="38" t="s">
        <v>417</v>
      </c>
      <c r="O76" s="39"/>
      <c r="P76" s="40" t="s">
        <v>81</v>
      </c>
    </row>
    <row r="77" spans="1:16" ht="30" x14ac:dyDescent="0.25">
      <c r="A77" s="34"/>
      <c r="B77" s="35" t="s">
        <v>109</v>
      </c>
      <c r="C77" s="35"/>
      <c r="D77" s="35"/>
      <c r="E77" s="10" t="s">
        <v>152</v>
      </c>
      <c r="F77" s="36"/>
      <c r="G77" s="10"/>
      <c r="H77" s="11" t="s">
        <v>418</v>
      </c>
      <c r="I77" s="11" t="str">
        <f t="shared" si="1"/>
        <v>Mechanical</v>
      </c>
      <c r="J77" s="11" t="s">
        <v>740</v>
      </c>
      <c r="K77" s="11" t="s">
        <v>740</v>
      </c>
      <c r="L77" s="11" t="s">
        <v>419</v>
      </c>
      <c r="M77" s="37" t="s">
        <v>420</v>
      </c>
      <c r="N77" s="38" t="s">
        <v>421</v>
      </c>
      <c r="O77" s="39"/>
      <c r="P77" s="40" t="s">
        <v>81</v>
      </c>
    </row>
    <row r="78" spans="1:16" ht="30" x14ac:dyDescent="0.25">
      <c r="A78" s="34"/>
      <c r="B78" s="35" t="s">
        <v>109</v>
      </c>
      <c r="C78" s="35"/>
      <c r="D78" s="35"/>
      <c r="E78" s="10" t="s">
        <v>142</v>
      </c>
      <c r="F78" s="36"/>
      <c r="G78" s="10"/>
      <c r="H78" s="11" t="s">
        <v>422</v>
      </c>
      <c r="I78" s="11" t="str">
        <f t="shared" si="1"/>
        <v>Mechanical</v>
      </c>
      <c r="J78" s="11" t="s">
        <v>741</v>
      </c>
      <c r="K78" s="11" t="s">
        <v>741</v>
      </c>
      <c r="L78" s="11" t="s">
        <v>423</v>
      </c>
      <c r="M78" s="37" t="s">
        <v>424</v>
      </c>
      <c r="N78" s="38" t="s">
        <v>425</v>
      </c>
      <c r="O78" s="39"/>
      <c r="P78" s="40" t="s">
        <v>81</v>
      </c>
    </row>
    <row r="79" spans="1:16" ht="45" x14ac:dyDescent="0.25">
      <c r="A79" s="34"/>
      <c r="B79" s="35" t="s">
        <v>109</v>
      </c>
      <c r="C79" s="35"/>
      <c r="D79" s="35"/>
      <c r="E79" s="10" t="s">
        <v>384</v>
      </c>
      <c r="F79" s="36"/>
      <c r="G79" s="10"/>
      <c r="H79" s="11" t="s">
        <v>426</v>
      </c>
      <c r="I79" s="11" t="str">
        <f t="shared" si="1"/>
        <v>Mechanical</v>
      </c>
      <c r="J79" s="11" t="s">
        <v>742</v>
      </c>
      <c r="K79" s="11" t="s">
        <v>742</v>
      </c>
      <c r="L79" s="11" t="s">
        <v>427</v>
      </c>
      <c r="M79" s="37" t="s">
        <v>428</v>
      </c>
      <c r="N79" s="38" t="s">
        <v>429</v>
      </c>
      <c r="O79" s="39"/>
      <c r="P79" s="40" t="s">
        <v>81</v>
      </c>
    </row>
    <row r="80" spans="1:16" ht="30" x14ac:dyDescent="0.25">
      <c r="A80" s="34"/>
      <c r="B80" s="35" t="s">
        <v>109</v>
      </c>
      <c r="C80" s="35" t="s">
        <v>430</v>
      </c>
      <c r="D80" s="35" t="s">
        <v>431</v>
      </c>
      <c r="E80" s="10" t="s">
        <v>413</v>
      </c>
      <c r="F80" s="36"/>
      <c r="G80" s="10"/>
      <c r="H80" s="11" t="s">
        <v>413</v>
      </c>
      <c r="I80" s="11" t="str">
        <f t="shared" si="1"/>
        <v>Mechanical</v>
      </c>
      <c r="J80" s="11" t="s">
        <v>743</v>
      </c>
      <c r="K80" s="11" t="s">
        <v>743</v>
      </c>
      <c r="L80" s="11" t="s">
        <v>432</v>
      </c>
      <c r="M80" s="37" t="s">
        <v>433</v>
      </c>
      <c r="N80" s="38" t="s">
        <v>434</v>
      </c>
      <c r="O80" s="39" t="s">
        <v>435</v>
      </c>
      <c r="P80" s="40"/>
    </row>
    <row r="81" spans="1:16" ht="75" x14ac:dyDescent="0.25">
      <c r="A81" s="34"/>
      <c r="B81" s="35" t="s">
        <v>109</v>
      </c>
      <c r="C81" s="35"/>
      <c r="D81" s="35"/>
      <c r="E81" s="10" t="s">
        <v>142</v>
      </c>
      <c r="F81" s="36"/>
      <c r="G81" s="10"/>
      <c r="H81" s="11" t="s">
        <v>436</v>
      </c>
      <c r="I81" s="11" t="str">
        <f t="shared" si="1"/>
        <v>Mechanical</v>
      </c>
      <c r="J81" s="11" t="s">
        <v>744</v>
      </c>
      <c r="K81" s="11" t="s">
        <v>744</v>
      </c>
      <c r="L81" s="11" t="s">
        <v>437</v>
      </c>
      <c r="M81" s="37" t="s">
        <v>438</v>
      </c>
      <c r="N81" s="38" t="s">
        <v>439</v>
      </c>
      <c r="O81" s="39" t="s">
        <v>440</v>
      </c>
      <c r="P81" s="40"/>
    </row>
    <row r="82" spans="1:16" x14ac:dyDescent="0.25">
      <c r="A82" s="34"/>
      <c r="B82" s="35" t="s">
        <v>109</v>
      </c>
      <c r="C82" s="35"/>
      <c r="D82" s="35"/>
      <c r="E82" s="10" t="s">
        <v>142</v>
      </c>
      <c r="F82" s="36"/>
      <c r="G82" s="10"/>
      <c r="H82" s="11" t="s">
        <v>441</v>
      </c>
      <c r="I82" s="11" t="str">
        <f t="shared" si="1"/>
        <v>Mechanical</v>
      </c>
      <c r="J82" s="11" t="s">
        <v>442</v>
      </c>
      <c r="K82" s="11"/>
      <c r="L82" s="11" t="s">
        <v>443</v>
      </c>
      <c r="M82" s="37" t="s">
        <v>444</v>
      </c>
      <c r="N82" s="38" t="s">
        <v>445</v>
      </c>
      <c r="O82" s="39"/>
      <c r="P82" s="40" t="s">
        <v>81</v>
      </c>
    </row>
    <row r="83" spans="1:16" ht="45" x14ac:dyDescent="0.25">
      <c r="A83" s="34"/>
      <c r="B83" s="35" t="s">
        <v>109</v>
      </c>
      <c r="C83" s="35"/>
      <c r="D83" s="35"/>
      <c r="E83" s="10" t="s">
        <v>142</v>
      </c>
      <c r="F83" s="36"/>
      <c r="G83" s="10"/>
      <c r="H83" s="11" t="s">
        <v>446</v>
      </c>
      <c r="I83" s="11" t="str">
        <f t="shared" si="1"/>
        <v>Mechanical</v>
      </c>
      <c r="J83" s="11"/>
      <c r="K83" s="11"/>
      <c r="L83" s="11" t="s">
        <v>447</v>
      </c>
      <c r="M83" s="37" t="s">
        <v>448</v>
      </c>
      <c r="N83" s="38" t="s">
        <v>449</v>
      </c>
      <c r="O83" s="39" t="s">
        <v>440</v>
      </c>
      <c r="P83" s="40"/>
    </row>
    <row r="84" spans="1:16" ht="90" x14ac:dyDescent="0.25">
      <c r="A84" s="34"/>
      <c r="B84" s="35" t="s">
        <v>109</v>
      </c>
      <c r="C84" s="35"/>
      <c r="D84" s="35"/>
      <c r="E84" s="10" t="s">
        <v>384</v>
      </c>
      <c r="F84" s="36"/>
      <c r="G84" s="10"/>
      <c r="H84" s="11" t="s">
        <v>450</v>
      </c>
      <c r="I84" s="11" t="str">
        <f t="shared" si="1"/>
        <v>Mechanical</v>
      </c>
      <c r="J84" s="11" t="s">
        <v>388</v>
      </c>
      <c r="K84" s="11" t="s">
        <v>388</v>
      </c>
      <c r="L84" s="11" t="s">
        <v>451</v>
      </c>
      <c r="M84" s="37" t="s">
        <v>390</v>
      </c>
      <c r="N84" s="38" t="s">
        <v>452</v>
      </c>
      <c r="O84" s="39" t="s">
        <v>453</v>
      </c>
      <c r="P84" s="40"/>
    </row>
    <row r="85" spans="1:16" ht="30" x14ac:dyDescent="0.25">
      <c r="A85" s="34"/>
      <c r="B85" s="35" t="s">
        <v>53</v>
      </c>
      <c r="C85" s="35"/>
      <c r="D85" s="35"/>
      <c r="E85" s="10" t="s">
        <v>65</v>
      </c>
      <c r="F85" s="36"/>
      <c r="G85" s="10"/>
      <c r="H85" s="11" t="s">
        <v>454</v>
      </c>
      <c r="I85" s="11" t="str">
        <f t="shared" si="1"/>
        <v>Photometric</v>
      </c>
      <c r="J85" s="11" t="s">
        <v>745</v>
      </c>
      <c r="K85" s="11" t="s">
        <v>745</v>
      </c>
      <c r="L85" s="11" t="s">
        <v>455</v>
      </c>
      <c r="M85" s="37" t="s">
        <v>456</v>
      </c>
      <c r="N85" s="38" t="s">
        <v>457</v>
      </c>
      <c r="O85" s="39"/>
      <c r="P85" s="40" t="s">
        <v>81</v>
      </c>
    </row>
    <row r="86" spans="1:16" ht="90" x14ac:dyDescent="0.25">
      <c r="A86" s="34"/>
      <c r="B86" s="35" t="s">
        <v>53</v>
      </c>
      <c r="C86" s="35"/>
      <c r="D86" s="35"/>
      <c r="E86" s="10" t="s">
        <v>22</v>
      </c>
      <c r="F86" s="36"/>
      <c r="G86" s="10"/>
      <c r="H86" s="11" t="s">
        <v>458</v>
      </c>
      <c r="I86" s="11" t="str">
        <f t="shared" si="1"/>
        <v>Photometric</v>
      </c>
      <c r="J86" s="11" t="s">
        <v>459</v>
      </c>
      <c r="K86" s="11" t="s">
        <v>459</v>
      </c>
      <c r="L86" s="11" t="s">
        <v>460</v>
      </c>
      <c r="M86" s="37" t="s">
        <v>461</v>
      </c>
      <c r="N86" s="38" t="s">
        <v>462</v>
      </c>
      <c r="O86" s="39" t="s">
        <v>463</v>
      </c>
      <c r="P86" s="40"/>
    </row>
    <row r="87" spans="1:16" ht="30" x14ac:dyDescent="0.25">
      <c r="A87" s="34"/>
      <c r="B87" s="35" t="s">
        <v>53</v>
      </c>
      <c r="C87" s="35"/>
      <c r="D87" s="35"/>
      <c r="E87" s="10" t="s">
        <v>142</v>
      </c>
      <c r="F87" s="36"/>
      <c r="G87" s="10"/>
      <c r="H87" s="11" t="s">
        <v>464</v>
      </c>
      <c r="I87" s="11" t="str">
        <f t="shared" si="1"/>
        <v>Photometric</v>
      </c>
      <c r="J87" s="11" t="s">
        <v>792</v>
      </c>
      <c r="K87" s="11" t="s">
        <v>746</v>
      </c>
      <c r="L87" s="11" t="s">
        <v>465</v>
      </c>
      <c r="M87" s="37" t="s">
        <v>466</v>
      </c>
      <c r="N87" s="38" t="s">
        <v>467</v>
      </c>
      <c r="O87" s="39" t="s">
        <v>468</v>
      </c>
      <c r="P87" s="40"/>
    </row>
    <row r="88" spans="1:16" ht="45" x14ac:dyDescent="0.25">
      <c r="A88" s="34"/>
      <c r="B88" s="35" t="s">
        <v>53</v>
      </c>
      <c r="C88" s="35"/>
      <c r="D88" s="35"/>
      <c r="E88" s="10" t="s">
        <v>142</v>
      </c>
      <c r="F88" s="36"/>
      <c r="G88" s="10"/>
      <c r="H88" s="11" t="s">
        <v>663</v>
      </c>
      <c r="I88" s="11" t="str">
        <f t="shared" si="1"/>
        <v>Photometric</v>
      </c>
      <c r="J88" s="11" t="s">
        <v>747</v>
      </c>
      <c r="K88" s="11" t="s">
        <v>747</v>
      </c>
      <c r="L88" s="11" t="s">
        <v>469</v>
      </c>
      <c r="M88" s="37" t="s">
        <v>470</v>
      </c>
      <c r="N88" s="38" t="s">
        <v>471</v>
      </c>
      <c r="O88" s="39" t="s">
        <v>472</v>
      </c>
      <c r="P88" s="40"/>
    </row>
    <row r="89" spans="1:16" ht="30" x14ac:dyDescent="0.25">
      <c r="A89" s="34"/>
      <c r="B89" s="35" t="s">
        <v>75</v>
      </c>
      <c r="C89" s="35"/>
      <c r="D89" s="35"/>
      <c r="E89" s="10" t="s">
        <v>22</v>
      </c>
      <c r="F89" s="36"/>
      <c r="G89" s="10"/>
      <c r="H89" s="11" t="s">
        <v>473</v>
      </c>
      <c r="I89" s="11" t="str">
        <f t="shared" si="1"/>
        <v>Electrical</v>
      </c>
      <c r="J89" s="11" t="s">
        <v>694</v>
      </c>
      <c r="K89" s="11" t="s">
        <v>748</v>
      </c>
      <c r="L89" s="11" t="s">
        <v>474</v>
      </c>
      <c r="M89" s="37" t="s">
        <v>475</v>
      </c>
      <c r="N89" s="38" t="s">
        <v>476</v>
      </c>
      <c r="O89" s="39"/>
      <c r="P89" s="40" t="s">
        <v>81</v>
      </c>
    </row>
    <row r="90" spans="1:16" ht="45" x14ac:dyDescent="0.25">
      <c r="A90" s="34"/>
      <c r="B90" s="35" t="s">
        <v>75</v>
      </c>
      <c r="C90" s="52" t="s">
        <v>477</v>
      </c>
      <c r="D90" s="52" t="s">
        <v>478</v>
      </c>
      <c r="E90" s="10" t="s">
        <v>22</v>
      </c>
      <c r="F90" s="36"/>
      <c r="G90" s="10"/>
      <c r="H90" s="11" t="s">
        <v>664</v>
      </c>
      <c r="I90" s="11" t="str">
        <f t="shared" si="1"/>
        <v>Electrical</v>
      </c>
      <c r="J90" s="11" t="s">
        <v>749</v>
      </c>
      <c r="K90" s="11" t="s">
        <v>749</v>
      </c>
      <c r="L90" s="11" t="str">
        <f>C90</f>
        <v>168db923-41ba-45bf-8bba-f4be48513f4f</v>
      </c>
      <c r="M90" s="37" t="s">
        <v>479</v>
      </c>
      <c r="N90" s="38" t="s">
        <v>480</v>
      </c>
      <c r="O90" s="39" t="s">
        <v>481</v>
      </c>
      <c r="P90" s="40"/>
    </row>
    <row r="91" spans="1:16" ht="30" x14ac:dyDescent="0.25">
      <c r="A91" s="34"/>
      <c r="B91" s="35" t="s">
        <v>75</v>
      </c>
      <c r="C91" s="35"/>
      <c r="D91" s="35"/>
      <c r="E91" s="10" t="s">
        <v>142</v>
      </c>
      <c r="F91" s="36"/>
      <c r="G91" s="10"/>
      <c r="H91" s="11" t="s">
        <v>482</v>
      </c>
      <c r="I91" s="11" t="str">
        <f t="shared" si="1"/>
        <v>Electrical</v>
      </c>
      <c r="J91" s="11" t="s">
        <v>750</v>
      </c>
      <c r="K91" s="11" t="s">
        <v>750</v>
      </c>
      <c r="L91" s="11" t="s">
        <v>483</v>
      </c>
      <c r="M91" s="37" t="s">
        <v>484</v>
      </c>
      <c r="N91" s="38" t="s">
        <v>485</v>
      </c>
      <c r="O91" s="39" t="s">
        <v>486</v>
      </c>
      <c r="P91" s="40"/>
    </row>
    <row r="92" spans="1:16" ht="30" x14ac:dyDescent="0.25">
      <c r="A92" s="34"/>
      <c r="B92" s="35" t="s">
        <v>75</v>
      </c>
      <c r="C92" s="35"/>
      <c r="D92" s="35"/>
      <c r="E92" s="10" t="s">
        <v>142</v>
      </c>
      <c r="F92" s="36"/>
      <c r="G92" s="10"/>
      <c r="H92" s="11" t="s">
        <v>665</v>
      </c>
      <c r="I92" s="11" t="str">
        <f t="shared" si="1"/>
        <v>Electrical</v>
      </c>
      <c r="J92" s="11" t="s">
        <v>751</v>
      </c>
      <c r="K92" s="11" t="s">
        <v>751</v>
      </c>
      <c r="L92" s="11" t="s">
        <v>487</v>
      </c>
      <c r="M92" s="37" t="s">
        <v>488</v>
      </c>
      <c r="N92" s="38" t="s">
        <v>489</v>
      </c>
      <c r="O92" s="39" t="s">
        <v>490</v>
      </c>
      <c r="P92" s="40"/>
    </row>
    <row r="93" spans="1:16" ht="45" x14ac:dyDescent="0.25">
      <c r="A93" s="34"/>
      <c r="B93" s="35" t="s">
        <v>75</v>
      </c>
      <c r="C93" s="35"/>
      <c r="D93" s="35"/>
      <c r="E93" s="10" t="s">
        <v>22</v>
      </c>
      <c r="F93" s="36"/>
      <c r="G93" s="10"/>
      <c r="H93" s="11" t="s">
        <v>666</v>
      </c>
      <c r="I93" s="11" t="str">
        <f t="shared" si="1"/>
        <v>Electrical</v>
      </c>
      <c r="J93" s="11" t="s">
        <v>752</v>
      </c>
      <c r="K93" s="11" t="s">
        <v>752</v>
      </c>
      <c r="L93" s="11" t="s">
        <v>491</v>
      </c>
      <c r="M93" s="37" t="s">
        <v>492</v>
      </c>
      <c r="N93" s="38" t="s">
        <v>493</v>
      </c>
      <c r="O93" s="39" t="s">
        <v>494</v>
      </c>
      <c r="P93" s="40"/>
    </row>
    <row r="94" spans="1:16" ht="45" x14ac:dyDescent="0.25">
      <c r="A94" s="34"/>
      <c r="B94" s="35" t="s">
        <v>109</v>
      </c>
      <c r="C94" s="35"/>
      <c r="D94" s="35"/>
      <c r="E94" s="10" t="s">
        <v>142</v>
      </c>
      <c r="F94" s="36"/>
      <c r="G94" s="10"/>
      <c r="H94" s="11" t="s">
        <v>667</v>
      </c>
      <c r="I94" s="11" t="str">
        <f t="shared" si="1"/>
        <v>Mechanical</v>
      </c>
      <c r="J94" s="11" t="s">
        <v>753</v>
      </c>
      <c r="K94" s="11" t="s">
        <v>753</v>
      </c>
      <c r="L94" s="11" t="s">
        <v>495</v>
      </c>
      <c r="M94" s="37" t="s">
        <v>496</v>
      </c>
      <c r="N94" s="38" t="s">
        <v>497</v>
      </c>
      <c r="O94" s="39"/>
      <c r="P94" s="40" t="s">
        <v>81</v>
      </c>
    </row>
    <row r="95" spans="1:16" ht="105" x14ac:dyDescent="0.25">
      <c r="A95" s="34"/>
      <c r="B95" s="35" t="s">
        <v>53</v>
      </c>
      <c r="C95" s="35"/>
      <c r="D95" s="35"/>
      <c r="E95" s="10" t="s">
        <v>498</v>
      </c>
      <c r="F95" s="36"/>
      <c r="G95" s="10"/>
      <c r="H95" s="11" t="s">
        <v>668</v>
      </c>
      <c r="I95" s="11" t="str">
        <f t="shared" si="1"/>
        <v>Photometric</v>
      </c>
      <c r="J95" s="11" t="s">
        <v>793</v>
      </c>
      <c r="K95" s="11" t="s">
        <v>754</v>
      </c>
      <c r="L95" s="11" t="s">
        <v>499</v>
      </c>
      <c r="M95" s="37" t="s">
        <v>500</v>
      </c>
      <c r="N95" s="38" t="s">
        <v>501</v>
      </c>
      <c r="O95" s="39" t="s">
        <v>502</v>
      </c>
      <c r="P95" s="40"/>
    </row>
    <row r="96" spans="1:16" ht="75" x14ac:dyDescent="0.25">
      <c r="A96" s="34"/>
      <c r="B96" s="35" t="s">
        <v>53</v>
      </c>
      <c r="C96" s="35"/>
      <c r="D96" s="35"/>
      <c r="E96" s="10" t="s">
        <v>498</v>
      </c>
      <c r="F96" s="36"/>
      <c r="G96" s="10"/>
      <c r="H96" s="11" t="s">
        <v>669</v>
      </c>
      <c r="I96" s="11" t="str">
        <f t="shared" si="1"/>
        <v>Photometric</v>
      </c>
      <c r="J96" s="11" t="s">
        <v>755</v>
      </c>
      <c r="K96" s="11" t="s">
        <v>755</v>
      </c>
      <c r="L96" s="11" t="s">
        <v>503</v>
      </c>
      <c r="M96" s="37" t="s">
        <v>504</v>
      </c>
      <c r="N96" s="38" t="s">
        <v>505</v>
      </c>
      <c r="O96" s="39"/>
      <c r="P96" s="40" t="s">
        <v>81</v>
      </c>
    </row>
    <row r="97" spans="1:16" ht="45" x14ac:dyDescent="0.25">
      <c r="A97" s="34"/>
      <c r="B97" s="35" t="s">
        <v>53</v>
      </c>
      <c r="C97" s="35"/>
      <c r="D97" s="35"/>
      <c r="E97" s="10" t="s">
        <v>22</v>
      </c>
      <c r="F97" s="36"/>
      <c r="G97" s="10"/>
      <c r="H97" s="11" t="s">
        <v>670</v>
      </c>
      <c r="I97" s="11" t="str">
        <f t="shared" si="1"/>
        <v>Photometric</v>
      </c>
      <c r="J97" s="11" t="s">
        <v>756</v>
      </c>
      <c r="K97" s="11" t="s">
        <v>756</v>
      </c>
      <c r="L97" s="11" t="s">
        <v>506</v>
      </c>
      <c r="M97" s="37" t="s">
        <v>507</v>
      </c>
      <c r="N97" s="38" t="s">
        <v>508</v>
      </c>
      <c r="O97" s="39"/>
      <c r="P97" s="40" t="s">
        <v>81</v>
      </c>
    </row>
    <row r="98" spans="1:16" ht="30" x14ac:dyDescent="0.25">
      <c r="A98" s="34"/>
      <c r="B98" s="35" t="s">
        <v>53</v>
      </c>
      <c r="C98" s="35"/>
      <c r="D98" s="35"/>
      <c r="E98" s="10" t="s">
        <v>22</v>
      </c>
      <c r="F98" s="36"/>
      <c r="G98" s="10"/>
      <c r="H98" s="11" t="s">
        <v>509</v>
      </c>
      <c r="I98" s="11" t="str">
        <f t="shared" si="1"/>
        <v>Photometric</v>
      </c>
      <c r="J98" s="11"/>
      <c r="K98" s="11"/>
      <c r="L98" s="11" t="s">
        <v>510</v>
      </c>
      <c r="M98" s="37" t="s">
        <v>511</v>
      </c>
      <c r="N98" s="38" t="s">
        <v>512</v>
      </c>
      <c r="O98" s="39"/>
      <c r="P98" s="40" t="s">
        <v>81</v>
      </c>
    </row>
    <row r="99" spans="1:16" ht="75" x14ac:dyDescent="0.25">
      <c r="A99" s="34"/>
      <c r="B99" s="35" t="s">
        <v>53</v>
      </c>
      <c r="C99" s="35"/>
      <c r="D99" s="35"/>
      <c r="E99" s="10" t="s">
        <v>22</v>
      </c>
      <c r="F99" s="36"/>
      <c r="G99" s="10"/>
      <c r="H99" s="11" t="s">
        <v>513</v>
      </c>
      <c r="I99" s="11" t="str">
        <f t="shared" si="1"/>
        <v>Photometric</v>
      </c>
      <c r="J99" s="11" t="s">
        <v>794</v>
      </c>
      <c r="K99" s="11" t="s">
        <v>757</v>
      </c>
      <c r="L99" s="11" t="s">
        <v>514</v>
      </c>
      <c r="M99" s="37" t="s">
        <v>515</v>
      </c>
      <c r="N99" s="38" t="s">
        <v>516</v>
      </c>
      <c r="O99" s="39"/>
      <c r="P99" s="40" t="s">
        <v>81</v>
      </c>
    </row>
    <row r="100" spans="1:16" ht="45" x14ac:dyDescent="0.25">
      <c r="A100" s="34"/>
      <c r="B100" s="35" t="s">
        <v>53</v>
      </c>
      <c r="C100" s="35"/>
      <c r="D100" s="35"/>
      <c r="E100" s="10" t="s">
        <v>22</v>
      </c>
      <c r="F100" s="36"/>
      <c r="G100" s="10"/>
      <c r="H100" s="11" t="s">
        <v>671</v>
      </c>
      <c r="I100" s="11" t="str">
        <f t="shared" si="1"/>
        <v>Photometric</v>
      </c>
      <c r="J100" s="11" t="s">
        <v>758</v>
      </c>
      <c r="K100" s="11" t="s">
        <v>758</v>
      </c>
      <c r="L100" s="11" t="s">
        <v>517</v>
      </c>
      <c r="M100" s="37" t="s">
        <v>518</v>
      </c>
      <c r="N100" s="38" t="s">
        <v>519</v>
      </c>
      <c r="O100" s="39" t="s">
        <v>520</v>
      </c>
      <c r="P100" s="40"/>
    </row>
    <row r="101" spans="1:16" ht="45" x14ac:dyDescent="0.25">
      <c r="A101" s="34"/>
      <c r="B101" s="35" t="s">
        <v>53</v>
      </c>
      <c r="C101" s="35"/>
      <c r="D101" s="35"/>
      <c r="E101" s="10" t="s">
        <v>22</v>
      </c>
      <c r="F101" s="36"/>
      <c r="G101" s="10"/>
      <c r="H101" s="11" t="s">
        <v>672</v>
      </c>
      <c r="I101" s="11" t="str">
        <f t="shared" si="1"/>
        <v>Photometric</v>
      </c>
      <c r="J101" s="11" t="s">
        <v>759</v>
      </c>
      <c r="K101" s="11" t="s">
        <v>759</v>
      </c>
      <c r="L101" s="11" t="s">
        <v>521</v>
      </c>
      <c r="M101" s="37" t="s">
        <v>522</v>
      </c>
      <c r="N101" s="38" t="s">
        <v>523</v>
      </c>
      <c r="O101" s="39"/>
      <c r="P101" s="40" t="s">
        <v>81</v>
      </c>
    </row>
    <row r="102" spans="1:16" ht="60" x14ac:dyDescent="0.25">
      <c r="A102" s="34"/>
      <c r="B102" s="35" t="s">
        <v>53</v>
      </c>
      <c r="C102" s="35"/>
      <c r="D102" s="35"/>
      <c r="E102" s="10" t="s">
        <v>22</v>
      </c>
      <c r="F102" s="36"/>
      <c r="G102" s="10"/>
      <c r="H102" s="11" t="s">
        <v>524</v>
      </c>
      <c r="I102" s="11" t="str">
        <f t="shared" si="1"/>
        <v>Photometric</v>
      </c>
      <c r="J102" s="11" t="s">
        <v>525</v>
      </c>
      <c r="K102" s="11" t="s">
        <v>525</v>
      </c>
      <c r="L102" s="11" t="s">
        <v>526</v>
      </c>
      <c r="M102" s="37" t="s">
        <v>527</v>
      </c>
      <c r="N102" s="38" t="s">
        <v>528</v>
      </c>
      <c r="O102" s="39" t="s">
        <v>529</v>
      </c>
      <c r="P102" s="40"/>
    </row>
    <row r="103" spans="1:16" ht="30" x14ac:dyDescent="0.25">
      <c r="A103" s="34" t="s">
        <v>20</v>
      </c>
      <c r="B103" s="35" t="s">
        <v>75</v>
      </c>
      <c r="C103" s="35"/>
      <c r="D103" s="35"/>
      <c r="E103" s="10" t="s">
        <v>22</v>
      </c>
      <c r="F103" s="36"/>
      <c r="G103" s="10"/>
      <c r="H103" s="11" t="s">
        <v>530</v>
      </c>
      <c r="I103" s="11" t="str">
        <f t="shared" si="1"/>
        <v>Electrical</v>
      </c>
      <c r="J103" s="11" t="s">
        <v>531</v>
      </c>
      <c r="K103" s="11" t="s">
        <v>760</v>
      </c>
      <c r="L103" s="11" t="s">
        <v>532</v>
      </c>
      <c r="M103" s="37" t="s">
        <v>533</v>
      </c>
      <c r="N103" s="38" t="s">
        <v>534</v>
      </c>
      <c r="O103" s="39"/>
      <c r="P103" s="40" t="s">
        <v>81</v>
      </c>
    </row>
    <row r="104" spans="1:16" ht="30" x14ac:dyDescent="0.25">
      <c r="A104" s="34" t="s">
        <v>20</v>
      </c>
      <c r="B104" s="35" t="s">
        <v>75</v>
      </c>
      <c r="C104" s="35"/>
      <c r="D104" s="35"/>
      <c r="E104" s="10" t="s">
        <v>131</v>
      </c>
      <c r="F104" s="36"/>
      <c r="G104" s="10"/>
      <c r="H104" s="11" t="s">
        <v>673</v>
      </c>
      <c r="I104" s="11" t="str">
        <f t="shared" si="1"/>
        <v>Electrical</v>
      </c>
      <c r="J104" s="11" t="s">
        <v>535</v>
      </c>
      <c r="K104" s="11" t="s">
        <v>761</v>
      </c>
      <c r="L104" s="11" t="s">
        <v>536</v>
      </c>
      <c r="M104" s="37" t="s">
        <v>537</v>
      </c>
      <c r="N104" s="38" t="s">
        <v>538</v>
      </c>
      <c r="O104" s="39"/>
      <c r="P104" s="40" t="s">
        <v>81</v>
      </c>
    </row>
    <row r="105" spans="1:16" ht="75" x14ac:dyDescent="0.25">
      <c r="A105" s="34"/>
      <c r="B105" s="35" t="s">
        <v>53</v>
      </c>
      <c r="C105" s="35"/>
      <c r="D105" s="35"/>
      <c r="E105" s="10" t="s">
        <v>22</v>
      </c>
      <c r="F105" s="36"/>
      <c r="G105" s="10"/>
      <c r="H105" s="11" t="s">
        <v>539</v>
      </c>
      <c r="I105" s="11" t="str">
        <f t="shared" si="1"/>
        <v>Photometric</v>
      </c>
      <c r="J105" s="11" t="s">
        <v>795</v>
      </c>
      <c r="K105" s="11" t="s">
        <v>762</v>
      </c>
      <c r="L105" s="51" t="s">
        <v>540</v>
      </c>
      <c r="M105" s="37" t="s">
        <v>541</v>
      </c>
      <c r="N105" s="38" t="s">
        <v>542</v>
      </c>
      <c r="O105" s="39" t="s">
        <v>543</v>
      </c>
      <c r="P105" s="40"/>
    </row>
    <row r="106" spans="1:16" ht="90" x14ac:dyDescent="0.25">
      <c r="A106" s="34"/>
      <c r="B106" s="35" t="s">
        <v>53</v>
      </c>
      <c r="C106" s="35"/>
      <c r="D106" s="35"/>
      <c r="E106" s="10" t="s">
        <v>131</v>
      </c>
      <c r="F106" s="36"/>
      <c r="G106" s="10"/>
      <c r="H106" s="12" t="s">
        <v>544</v>
      </c>
      <c r="I106" s="11" t="str">
        <f t="shared" si="1"/>
        <v>Photometric</v>
      </c>
      <c r="J106" s="11" t="s">
        <v>763</v>
      </c>
      <c r="K106" s="11" t="s">
        <v>763</v>
      </c>
      <c r="L106" s="11" t="s">
        <v>545</v>
      </c>
      <c r="M106" s="37" t="s">
        <v>546</v>
      </c>
      <c r="N106" s="38" t="s">
        <v>547</v>
      </c>
      <c r="O106" s="39" t="s">
        <v>548</v>
      </c>
      <c r="P106" s="40"/>
    </row>
    <row r="107" spans="1:16" ht="45" x14ac:dyDescent="0.25">
      <c r="A107" s="34"/>
      <c r="B107" s="35" t="s">
        <v>75</v>
      </c>
      <c r="C107" s="35"/>
      <c r="D107" s="35"/>
      <c r="E107" s="10" t="s">
        <v>549</v>
      </c>
      <c r="F107" s="36"/>
      <c r="G107" s="10"/>
      <c r="H107" s="11" t="s">
        <v>674</v>
      </c>
      <c r="I107" s="11" t="str">
        <f t="shared" si="1"/>
        <v>Electrical</v>
      </c>
      <c r="J107" s="11" t="s">
        <v>764</v>
      </c>
      <c r="K107" s="11" t="s">
        <v>764</v>
      </c>
      <c r="L107" s="11" t="s">
        <v>550</v>
      </c>
      <c r="M107" s="37" t="s">
        <v>551</v>
      </c>
      <c r="N107" s="38" t="s">
        <v>552</v>
      </c>
      <c r="O107" s="39" t="s">
        <v>553</v>
      </c>
      <c r="P107" s="40"/>
    </row>
    <row r="108" spans="1:16" ht="30" x14ac:dyDescent="0.25">
      <c r="A108" s="34" t="s">
        <v>20</v>
      </c>
      <c r="B108" s="35" t="s">
        <v>75</v>
      </c>
      <c r="C108" s="35"/>
      <c r="D108" s="35"/>
      <c r="E108" s="10" t="s">
        <v>142</v>
      </c>
      <c r="F108" s="36"/>
      <c r="G108" s="10"/>
      <c r="H108" s="33" t="s">
        <v>554</v>
      </c>
      <c r="I108" s="11" t="str">
        <f t="shared" si="1"/>
        <v>Electrical</v>
      </c>
      <c r="J108" s="11" t="s">
        <v>555</v>
      </c>
      <c r="K108" s="11" t="s">
        <v>765</v>
      </c>
      <c r="L108" s="11" t="s">
        <v>556</v>
      </c>
      <c r="M108" s="37" t="s">
        <v>557</v>
      </c>
      <c r="N108" s="38" t="s">
        <v>558</v>
      </c>
      <c r="O108" s="39"/>
      <c r="P108" s="40" t="s">
        <v>81</v>
      </c>
    </row>
    <row r="109" spans="1:16" ht="45" x14ac:dyDescent="0.25">
      <c r="A109" s="34"/>
      <c r="B109" s="35" t="s">
        <v>53</v>
      </c>
      <c r="C109" s="35"/>
      <c r="D109" s="35"/>
      <c r="E109" s="10" t="s">
        <v>22</v>
      </c>
      <c r="F109" s="36"/>
      <c r="G109" s="10"/>
      <c r="H109" s="11" t="s">
        <v>675</v>
      </c>
      <c r="I109" s="11" t="str">
        <f t="shared" si="1"/>
        <v>Photometric</v>
      </c>
      <c r="J109" s="11" t="s">
        <v>766</v>
      </c>
      <c r="K109" s="11" t="s">
        <v>766</v>
      </c>
      <c r="L109" s="11" t="s">
        <v>559</v>
      </c>
      <c r="M109" s="37" t="s">
        <v>560</v>
      </c>
      <c r="N109" s="38" t="s">
        <v>561</v>
      </c>
      <c r="O109" s="39"/>
      <c r="P109" s="40" t="s">
        <v>81</v>
      </c>
    </row>
    <row r="110" spans="1:16" ht="60" x14ac:dyDescent="0.25">
      <c r="A110" s="34"/>
      <c r="B110" s="35" t="s">
        <v>53</v>
      </c>
      <c r="C110" s="35"/>
      <c r="D110" s="35"/>
      <c r="E110" s="10" t="s">
        <v>131</v>
      </c>
      <c r="F110" s="36"/>
      <c r="G110" s="10"/>
      <c r="H110" s="12" t="s">
        <v>676</v>
      </c>
      <c r="I110" s="11" t="str">
        <f t="shared" si="1"/>
        <v>Photometric</v>
      </c>
      <c r="J110" s="11" t="s">
        <v>796</v>
      </c>
      <c r="K110" s="11" t="s">
        <v>767</v>
      </c>
      <c r="L110" s="11" t="s">
        <v>562</v>
      </c>
      <c r="M110" s="37" t="s">
        <v>563</v>
      </c>
      <c r="N110" s="38" t="s">
        <v>564</v>
      </c>
      <c r="O110" s="39" t="s">
        <v>565</v>
      </c>
      <c r="P110" s="40"/>
    </row>
    <row r="111" spans="1:16" ht="30" x14ac:dyDescent="0.25">
      <c r="A111" s="34"/>
      <c r="B111" s="35" t="s">
        <v>75</v>
      </c>
      <c r="C111" s="35"/>
      <c r="D111" s="35"/>
      <c r="E111" s="10" t="s">
        <v>549</v>
      </c>
      <c r="F111" s="36"/>
      <c r="G111" s="10"/>
      <c r="H111" s="11" t="s">
        <v>677</v>
      </c>
      <c r="I111" s="11" t="str">
        <f t="shared" si="1"/>
        <v>Electrical</v>
      </c>
      <c r="J111" s="11" t="s">
        <v>566</v>
      </c>
      <c r="K111" s="11" t="s">
        <v>566</v>
      </c>
      <c r="L111" s="11" t="s">
        <v>567</v>
      </c>
      <c r="M111" s="37" t="s">
        <v>568</v>
      </c>
      <c r="N111" s="38" t="s">
        <v>569</v>
      </c>
      <c r="O111" s="39"/>
      <c r="P111" s="40" t="s">
        <v>81</v>
      </c>
    </row>
    <row r="112" spans="1:16" ht="45" x14ac:dyDescent="0.25">
      <c r="A112" s="34"/>
      <c r="B112" s="35" t="s">
        <v>75</v>
      </c>
      <c r="C112" s="35"/>
      <c r="D112" s="35"/>
      <c r="E112" s="10" t="s">
        <v>570</v>
      </c>
      <c r="F112" s="36"/>
      <c r="G112" s="10"/>
      <c r="H112" s="11" t="s">
        <v>678</v>
      </c>
      <c r="I112" s="11" t="str">
        <f t="shared" si="1"/>
        <v>Electrical</v>
      </c>
      <c r="J112" s="11" t="s">
        <v>768</v>
      </c>
      <c r="K112" s="11" t="s">
        <v>768</v>
      </c>
      <c r="L112" s="11" t="s">
        <v>571</v>
      </c>
      <c r="M112" s="37" t="s">
        <v>572</v>
      </c>
      <c r="N112" s="38" t="s">
        <v>573</v>
      </c>
      <c r="O112" s="39" t="s">
        <v>574</v>
      </c>
      <c r="P112" s="40"/>
    </row>
    <row r="113" spans="1:16" ht="120" x14ac:dyDescent="0.25">
      <c r="A113" s="34"/>
      <c r="B113" s="35" t="s">
        <v>53</v>
      </c>
      <c r="C113" s="35"/>
      <c r="D113" s="35"/>
      <c r="E113" s="10" t="s">
        <v>65</v>
      </c>
      <c r="F113" s="36"/>
      <c r="G113" s="10"/>
      <c r="H113" s="11" t="s">
        <v>679</v>
      </c>
      <c r="I113" s="11" t="str">
        <f t="shared" si="1"/>
        <v>Photometric</v>
      </c>
      <c r="J113" s="11" t="s">
        <v>797</v>
      </c>
      <c r="K113" s="11" t="s">
        <v>769</v>
      </c>
      <c r="L113" s="11" t="s">
        <v>575</v>
      </c>
      <c r="M113" s="37" t="s">
        <v>576</v>
      </c>
      <c r="N113" s="38" t="s">
        <v>577</v>
      </c>
      <c r="O113" s="39"/>
      <c r="P113" s="40" t="s">
        <v>81</v>
      </c>
    </row>
    <row r="114" spans="1:16" ht="60" x14ac:dyDescent="0.25">
      <c r="A114" s="34"/>
      <c r="B114" s="35" t="s">
        <v>75</v>
      </c>
      <c r="C114" s="35"/>
      <c r="D114" s="35"/>
      <c r="E114" s="10" t="s">
        <v>78</v>
      </c>
      <c r="F114" s="36"/>
      <c r="G114" s="10"/>
      <c r="H114" s="12" t="s">
        <v>680</v>
      </c>
      <c r="I114" s="11" t="str">
        <f t="shared" si="1"/>
        <v>Electrical</v>
      </c>
      <c r="J114" s="11" t="s">
        <v>770</v>
      </c>
      <c r="K114" s="11" t="s">
        <v>770</v>
      </c>
      <c r="L114" s="11" t="s">
        <v>578</v>
      </c>
      <c r="M114" s="37" t="s">
        <v>579</v>
      </c>
      <c r="N114" s="38" t="s">
        <v>580</v>
      </c>
      <c r="O114" s="39" t="s">
        <v>581</v>
      </c>
      <c r="P114" s="40"/>
    </row>
    <row r="115" spans="1:16" ht="45" x14ac:dyDescent="0.25">
      <c r="A115" s="34"/>
      <c r="B115" s="35" t="s">
        <v>75</v>
      </c>
      <c r="C115" s="35"/>
      <c r="D115" s="35"/>
      <c r="E115" s="10" t="s">
        <v>131</v>
      </c>
      <c r="F115" s="36"/>
      <c r="G115" s="10"/>
      <c r="H115" s="11" t="s">
        <v>582</v>
      </c>
      <c r="I115" s="11" t="str">
        <f t="shared" si="1"/>
        <v>Electrical</v>
      </c>
      <c r="J115" s="11" t="s">
        <v>771</v>
      </c>
      <c r="K115" s="11" t="s">
        <v>771</v>
      </c>
      <c r="L115" s="11" t="s">
        <v>583</v>
      </c>
      <c r="M115" s="37" t="s">
        <v>584</v>
      </c>
      <c r="N115" s="38" t="s">
        <v>585</v>
      </c>
      <c r="O115" s="39" t="s">
        <v>586</v>
      </c>
      <c r="P115" s="40"/>
    </row>
    <row r="116" spans="1:16" ht="75" x14ac:dyDescent="0.25">
      <c r="A116" s="34"/>
      <c r="B116" s="35" t="s">
        <v>53</v>
      </c>
      <c r="C116" s="35"/>
      <c r="D116" s="35"/>
      <c r="E116" s="10" t="s">
        <v>22</v>
      </c>
      <c r="F116" s="36"/>
      <c r="G116" s="10"/>
      <c r="H116" s="11" t="s">
        <v>587</v>
      </c>
      <c r="I116" s="11" t="str">
        <f t="shared" si="1"/>
        <v>Photometric</v>
      </c>
      <c r="J116" s="11" t="s">
        <v>772</v>
      </c>
      <c r="K116" s="11" t="s">
        <v>772</v>
      </c>
      <c r="L116" s="51" t="s">
        <v>588</v>
      </c>
      <c r="M116" s="37" t="s">
        <v>589</v>
      </c>
      <c r="N116" s="38" t="s">
        <v>590</v>
      </c>
      <c r="O116" s="39"/>
      <c r="P116" s="40" t="s">
        <v>81</v>
      </c>
    </row>
    <row r="117" spans="1:16" ht="30" x14ac:dyDescent="0.25">
      <c r="A117" s="34"/>
      <c r="B117" s="35" t="s">
        <v>75</v>
      </c>
      <c r="C117" s="35"/>
      <c r="D117" s="35"/>
      <c r="E117" s="10" t="s">
        <v>38</v>
      </c>
      <c r="F117" s="36"/>
      <c r="G117" s="10"/>
      <c r="H117" s="11" t="s">
        <v>681</v>
      </c>
      <c r="I117" s="11" t="str">
        <f t="shared" si="1"/>
        <v>Electrical</v>
      </c>
      <c r="J117" s="11" t="s">
        <v>773</v>
      </c>
      <c r="K117" s="11" t="s">
        <v>773</v>
      </c>
      <c r="L117" s="11" t="s">
        <v>591</v>
      </c>
      <c r="M117" s="37" t="s">
        <v>592</v>
      </c>
      <c r="N117" s="38" t="s">
        <v>593</v>
      </c>
      <c r="O117" s="39" t="s">
        <v>594</v>
      </c>
      <c r="P117" s="40"/>
    </row>
    <row r="118" spans="1:16" ht="30" x14ac:dyDescent="0.25">
      <c r="A118" s="34"/>
      <c r="B118" s="35" t="s">
        <v>75</v>
      </c>
      <c r="C118" s="35"/>
      <c r="D118" s="35"/>
      <c r="E118" s="10" t="s">
        <v>595</v>
      </c>
      <c r="F118" s="36"/>
      <c r="G118" s="10"/>
      <c r="H118" s="11" t="s">
        <v>682</v>
      </c>
      <c r="I118" s="11" t="str">
        <f t="shared" si="1"/>
        <v>Electrical</v>
      </c>
      <c r="J118" s="11" t="s">
        <v>774</v>
      </c>
      <c r="K118" s="11" t="s">
        <v>774</v>
      </c>
      <c r="L118" s="11" t="s">
        <v>596</v>
      </c>
      <c r="M118" s="37" t="s">
        <v>597</v>
      </c>
      <c r="N118" s="38" t="s">
        <v>598</v>
      </c>
      <c r="O118" s="39"/>
      <c r="P118" s="40" t="s">
        <v>81</v>
      </c>
    </row>
    <row r="119" spans="1:16" ht="105" x14ac:dyDescent="0.25">
      <c r="A119" s="34"/>
      <c r="B119" s="35" t="s">
        <v>53</v>
      </c>
      <c r="C119" s="35"/>
      <c r="D119" s="35"/>
      <c r="E119" s="10" t="s">
        <v>22</v>
      </c>
      <c r="F119" s="36"/>
      <c r="G119" s="10"/>
      <c r="H119" s="11" t="s">
        <v>683</v>
      </c>
      <c r="I119" s="11" t="str">
        <f t="shared" si="1"/>
        <v>Photometric</v>
      </c>
      <c r="J119" s="11" t="s">
        <v>798</v>
      </c>
      <c r="K119" s="11" t="s">
        <v>775</v>
      </c>
      <c r="L119" s="11" t="s">
        <v>599</v>
      </c>
      <c r="M119" s="37" t="s">
        <v>600</v>
      </c>
      <c r="N119" s="38" t="s">
        <v>601</v>
      </c>
      <c r="O119" s="39" t="s">
        <v>602</v>
      </c>
      <c r="P119" s="40"/>
    </row>
    <row r="120" spans="1:16" ht="30" x14ac:dyDescent="0.25">
      <c r="A120" s="34"/>
      <c r="B120" s="35" t="s">
        <v>109</v>
      </c>
      <c r="C120" s="35"/>
      <c r="D120" s="35"/>
      <c r="E120" s="10" t="s">
        <v>22</v>
      </c>
      <c r="F120" s="36"/>
      <c r="G120" s="10"/>
      <c r="H120" s="11" t="s">
        <v>603</v>
      </c>
      <c r="I120" s="11" t="str">
        <f t="shared" si="1"/>
        <v>Mechanical</v>
      </c>
      <c r="J120" s="11" t="s">
        <v>776</v>
      </c>
      <c r="K120" s="11" t="s">
        <v>776</v>
      </c>
      <c r="L120" s="11" t="s">
        <v>604</v>
      </c>
      <c r="M120" s="37" t="s">
        <v>605</v>
      </c>
      <c r="N120" s="38" t="s">
        <v>606</v>
      </c>
      <c r="O120" s="39"/>
      <c r="P120" s="40" t="s">
        <v>81</v>
      </c>
    </row>
    <row r="121" spans="1:16" ht="90" x14ac:dyDescent="0.25">
      <c r="A121" s="34"/>
      <c r="B121" s="35" t="s">
        <v>75</v>
      </c>
      <c r="C121" s="35"/>
      <c r="D121" s="35"/>
      <c r="E121" s="10" t="s">
        <v>22</v>
      </c>
      <c r="F121" s="36"/>
      <c r="G121" s="10"/>
      <c r="H121" s="11" t="s">
        <v>607</v>
      </c>
      <c r="I121" s="11" t="str">
        <f t="shared" si="1"/>
        <v>Electrical</v>
      </c>
      <c r="J121" s="11" t="s">
        <v>799</v>
      </c>
      <c r="K121" s="11" t="s">
        <v>777</v>
      </c>
      <c r="L121" s="11" t="s">
        <v>608</v>
      </c>
      <c r="M121" s="37" t="s">
        <v>609</v>
      </c>
      <c r="N121" s="38" t="s">
        <v>610</v>
      </c>
      <c r="O121" s="39" t="s">
        <v>611</v>
      </c>
      <c r="P121" s="40"/>
    </row>
    <row r="122" spans="1:16" s="9" customFormat="1" ht="45" x14ac:dyDescent="0.25">
      <c r="A122" s="34"/>
      <c r="B122" s="35" t="s">
        <v>109</v>
      </c>
      <c r="C122" s="35"/>
      <c r="D122" s="35"/>
      <c r="E122" s="10" t="s">
        <v>152</v>
      </c>
      <c r="F122" s="36"/>
      <c r="G122" s="10"/>
      <c r="H122" s="11" t="s">
        <v>684</v>
      </c>
      <c r="I122" s="11" t="str">
        <f t="shared" si="1"/>
        <v>Mechanical</v>
      </c>
      <c r="J122" s="11" t="s">
        <v>778</v>
      </c>
      <c r="K122" s="11" t="s">
        <v>778</v>
      </c>
      <c r="L122" s="11" t="s">
        <v>612</v>
      </c>
      <c r="M122" s="37" t="s">
        <v>613</v>
      </c>
      <c r="N122" s="38" t="s">
        <v>614</v>
      </c>
      <c r="O122" s="39"/>
      <c r="P122" s="40" t="s">
        <v>81</v>
      </c>
    </row>
    <row r="123" spans="1:16" ht="45" x14ac:dyDescent="0.25">
      <c r="A123" s="34"/>
      <c r="B123" s="35" t="s">
        <v>109</v>
      </c>
      <c r="C123" s="35"/>
      <c r="D123" s="35"/>
      <c r="E123" s="10" t="s">
        <v>152</v>
      </c>
      <c r="F123" s="36"/>
      <c r="G123" s="10"/>
      <c r="H123" s="11" t="s">
        <v>685</v>
      </c>
      <c r="I123" s="11" t="str">
        <f t="shared" si="1"/>
        <v>Mechanical</v>
      </c>
      <c r="J123" s="11" t="s">
        <v>779</v>
      </c>
      <c r="K123" s="11" t="s">
        <v>779</v>
      </c>
      <c r="L123" s="11" t="s">
        <v>615</v>
      </c>
      <c r="M123" s="37" t="s">
        <v>616</v>
      </c>
      <c r="N123" s="38" t="s">
        <v>617</v>
      </c>
      <c r="O123" s="39"/>
      <c r="P123" s="40" t="s">
        <v>81</v>
      </c>
    </row>
    <row r="124" spans="1:16" ht="45" x14ac:dyDescent="0.25">
      <c r="A124" s="34"/>
      <c r="B124" s="35" t="s">
        <v>53</v>
      </c>
      <c r="C124" s="35"/>
      <c r="D124" s="35"/>
      <c r="E124" s="10" t="s">
        <v>22</v>
      </c>
      <c r="F124" s="36"/>
      <c r="G124" s="10"/>
      <c r="H124" s="11" t="s">
        <v>686</v>
      </c>
      <c r="I124" s="11" t="str">
        <f t="shared" si="1"/>
        <v>Photometric</v>
      </c>
      <c r="J124" s="11" t="s">
        <v>800</v>
      </c>
      <c r="K124" s="11" t="s">
        <v>618</v>
      </c>
      <c r="L124" s="11" t="s">
        <v>619</v>
      </c>
      <c r="M124" s="37" t="s">
        <v>620</v>
      </c>
      <c r="N124" s="38" t="s">
        <v>621</v>
      </c>
      <c r="O124" s="39" t="s">
        <v>622</v>
      </c>
      <c r="P124" s="40"/>
    </row>
    <row r="125" spans="1:16" ht="45" x14ac:dyDescent="0.25">
      <c r="A125" s="34"/>
      <c r="B125" s="35" t="s">
        <v>75</v>
      </c>
      <c r="C125" s="35"/>
      <c r="D125" s="35"/>
      <c r="E125" s="10" t="s">
        <v>22</v>
      </c>
      <c r="F125" s="36"/>
      <c r="G125" s="10"/>
      <c r="H125" s="11" t="s">
        <v>687</v>
      </c>
      <c r="I125" s="11" t="str">
        <f t="shared" si="1"/>
        <v>Electrical</v>
      </c>
      <c r="J125" s="11" t="s">
        <v>780</v>
      </c>
      <c r="K125" s="11" t="s">
        <v>780</v>
      </c>
      <c r="L125" s="11" t="s">
        <v>623</v>
      </c>
      <c r="M125" s="37" t="s">
        <v>624</v>
      </c>
      <c r="N125" s="38" t="s">
        <v>625</v>
      </c>
      <c r="O125" s="39" t="s">
        <v>626</v>
      </c>
      <c r="P125" s="40"/>
    </row>
    <row r="126" spans="1:16" ht="30" x14ac:dyDescent="0.25">
      <c r="A126" s="34"/>
      <c r="B126" s="35" t="s">
        <v>75</v>
      </c>
      <c r="C126" s="35"/>
      <c r="D126" s="35"/>
      <c r="E126" s="10" t="s">
        <v>142</v>
      </c>
      <c r="F126" s="36"/>
      <c r="G126" s="10"/>
      <c r="H126" s="11" t="s">
        <v>627</v>
      </c>
      <c r="I126" s="11" t="str">
        <f t="shared" ref="I126:I134" si="2">B126</f>
        <v>Electrical</v>
      </c>
      <c r="J126" s="11" t="s">
        <v>628</v>
      </c>
      <c r="K126" s="11" t="s">
        <v>629</v>
      </c>
      <c r="L126" s="11" t="s">
        <v>630</v>
      </c>
      <c r="M126" s="37" t="s">
        <v>631</v>
      </c>
      <c r="N126" s="38" t="s">
        <v>632</v>
      </c>
      <c r="O126" s="39"/>
      <c r="P126" s="40" t="s">
        <v>81</v>
      </c>
    </row>
    <row r="127" spans="1:16" ht="30" x14ac:dyDescent="0.25">
      <c r="A127" s="34"/>
      <c r="B127" s="35" t="s">
        <v>75</v>
      </c>
      <c r="C127" s="35"/>
      <c r="D127" s="35"/>
      <c r="E127" s="10" t="s">
        <v>22</v>
      </c>
      <c r="F127" s="36"/>
      <c r="G127" s="10"/>
      <c r="H127" s="11" t="s">
        <v>633</v>
      </c>
      <c r="I127" s="11" t="str">
        <f t="shared" si="2"/>
        <v>Electrical</v>
      </c>
      <c r="J127" s="11" t="s">
        <v>634</v>
      </c>
      <c r="K127" s="11" t="s">
        <v>635</v>
      </c>
      <c r="L127" s="11" t="s">
        <v>636</v>
      </c>
      <c r="M127" s="37"/>
      <c r="N127" s="38"/>
      <c r="O127" s="39"/>
      <c r="P127" s="40"/>
    </row>
    <row r="128" spans="1:16" x14ac:dyDescent="0.25">
      <c r="A128" s="34"/>
      <c r="B128" s="35" t="s">
        <v>21</v>
      </c>
      <c r="C128" s="35"/>
      <c r="D128" s="35"/>
      <c r="E128" s="10" t="s">
        <v>142</v>
      </c>
      <c r="F128" s="36"/>
      <c r="G128" s="10"/>
      <c r="H128" s="11" t="s">
        <v>637</v>
      </c>
      <c r="I128" s="11" t="str">
        <f t="shared" si="2"/>
        <v>General</v>
      </c>
      <c r="J128" s="11" t="s">
        <v>638</v>
      </c>
      <c r="K128" s="11" t="s">
        <v>638</v>
      </c>
      <c r="L128" s="11" t="s">
        <v>639</v>
      </c>
      <c r="M128" s="37"/>
      <c r="N128" s="38"/>
      <c r="O128" s="39"/>
      <c r="P128" s="40"/>
    </row>
    <row r="129" spans="1:16" ht="30" x14ac:dyDescent="0.25">
      <c r="A129" s="34"/>
      <c r="B129" s="35" t="s">
        <v>21</v>
      </c>
      <c r="C129" s="35"/>
      <c r="D129" s="35"/>
      <c r="E129" s="10" t="s">
        <v>22</v>
      </c>
      <c r="F129" s="36"/>
      <c r="G129" s="10"/>
      <c r="H129" s="11" t="s">
        <v>640</v>
      </c>
      <c r="I129" s="11" t="str">
        <f t="shared" si="2"/>
        <v>General</v>
      </c>
      <c r="J129" s="11" t="s">
        <v>641</v>
      </c>
      <c r="K129" s="11" t="s">
        <v>641</v>
      </c>
      <c r="L129" s="11" t="s">
        <v>642</v>
      </c>
      <c r="M129" s="37"/>
      <c r="N129" s="38"/>
      <c r="O129" s="39"/>
      <c r="P129" s="40"/>
    </row>
    <row r="130" spans="1:16" ht="30" x14ac:dyDescent="0.25">
      <c r="A130" s="34"/>
      <c r="B130" s="35" t="s">
        <v>21</v>
      </c>
      <c r="C130" s="35"/>
      <c r="D130" s="35"/>
      <c r="E130" s="10" t="s">
        <v>142</v>
      </c>
      <c r="F130" s="36"/>
      <c r="G130" s="10"/>
      <c r="H130" s="11" t="s">
        <v>643</v>
      </c>
      <c r="I130" s="11" t="str">
        <f t="shared" si="2"/>
        <v>General</v>
      </c>
      <c r="J130" s="11" t="s">
        <v>644</v>
      </c>
      <c r="K130" s="11" t="s">
        <v>644</v>
      </c>
      <c r="L130" s="11" t="s">
        <v>645</v>
      </c>
      <c r="M130" s="37"/>
      <c r="N130" s="38"/>
      <c r="O130" s="39"/>
      <c r="P130" s="40"/>
    </row>
    <row r="131" spans="1:16" ht="30" x14ac:dyDescent="0.25">
      <c r="A131" s="34"/>
      <c r="B131" s="35" t="s">
        <v>21</v>
      </c>
      <c r="C131" s="35"/>
      <c r="D131" s="35"/>
      <c r="E131" s="10" t="s">
        <v>38</v>
      </c>
      <c r="F131" s="36"/>
      <c r="G131" s="10"/>
      <c r="H131" s="11" t="s">
        <v>646</v>
      </c>
      <c r="I131" s="11" t="str">
        <f t="shared" si="2"/>
        <v>General</v>
      </c>
      <c r="J131" s="11" t="s">
        <v>647</v>
      </c>
      <c r="K131" s="11" t="s">
        <v>647</v>
      </c>
      <c r="L131" s="11" t="s">
        <v>648</v>
      </c>
      <c r="M131" s="37"/>
      <c r="N131" s="38"/>
      <c r="O131" s="39"/>
      <c r="P131" s="40"/>
    </row>
    <row r="132" spans="1:16" ht="30" x14ac:dyDescent="0.25">
      <c r="A132" s="34"/>
      <c r="B132" s="35" t="s">
        <v>75</v>
      </c>
      <c r="C132" s="35"/>
      <c r="D132" s="35"/>
      <c r="E132" s="10" t="s">
        <v>97</v>
      </c>
      <c r="F132" s="36"/>
      <c r="G132" s="10"/>
      <c r="H132" s="11" t="s">
        <v>649</v>
      </c>
      <c r="I132" s="11" t="str">
        <f t="shared" si="2"/>
        <v>Electrical</v>
      </c>
      <c r="J132" s="11" t="s">
        <v>650</v>
      </c>
      <c r="K132" s="11" t="s">
        <v>651</v>
      </c>
      <c r="L132" s="11" t="s">
        <v>652</v>
      </c>
      <c r="M132" s="37"/>
      <c r="N132" s="38"/>
      <c r="O132" s="39"/>
      <c r="P132" s="40"/>
    </row>
    <row r="133" spans="1:16" ht="30" x14ac:dyDescent="0.25">
      <c r="A133" s="34"/>
      <c r="B133" s="35" t="s">
        <v>53</v>
      </c>
      <c r="C133" s="35" t="s">
        <v>653</v>
      </c>
      <c r="D133" s="35" t="s">
        <v>654</v>
      </c>
      <c r="E133" s="10" t="s">
        <v>655</v>
      </c>
      <c r="F133" s="36"/>
      <c r="G133" s="10"/>
      <c r="H133" s="11" t="s">
        <v>654</v>
      </c>
      <c r="I133" s="11" t="str">
        <f t="shared" si="2"/>
        <v>Photometric</v>
      </c>
      <c r="J133" s="11" t="s">
        <v>656</v>
      </c>
      <c r="K133" s="11" t="s">
        <v>656</v>
      </c>
      <c r="L133" s="11" t="s">
        <v>653</v>
      </c>
      <c r="M133" s="37"/>
      <c r="N133" s="38"/>
      <c r="O133" s="39"/>
      <c r="P133" s="40"/>
    </row>
    <row r="134" spans="1:16" x14ac:dyDescent="0.25">
      <c r="A134" s="34"/>
      <c r="B134" s="35" t="s">
        <v>21</v>
      </c>
      <c r="C134" s="52" t="s">
        <v>657</v>
      </c>
      <c r="D134" s="52" t="s">
        <v>658</v>
      </c>
      <c r="E134" s="10" t="s">
        <v>348</v>
      </c>
      <c r="F134" s="36"/>
      <c r="G134" s="10"/>
      <c r="H134" s="11" t="str">
        <f>D134</f>
        <v>Projected Life</v>
      </c>
      <c r="I134" s="11" t="str">
        <f t="shared" si="2"/>
        <v>General</v>
      </c>
      <c r="J134" s="11" t="s">
        <v>659</v>
      </c>
      <c r="K134" s="11" t="s">
        <v>659</v>
      </c>
      <c r="L134" s="11" t="str">
        <f>C134</f>
        <v>3ba7512c-0fde-43eb-9a08-63710290c613</v>
      </c>
      <c r="M134" s="37"/>
      <c r="N134" s="38"/>
      <c r="O134" s="39"/>
      <c r="P134" s="40"/>
    </row>
    <row r="135" spans="1:16" s="56" customFormat="1" x14ac:dyDescent="0.25">
      <c r="A135" s="53"/>
      <c r="B135" s="53"/>
      <c r="C135" s="53"/>
      <c r="D135" s="53"/>
      <c r="E135" s="53"/>
      <c r="F135" s="61" t="s">
        <v>802</v>
      </c>
      <c r="G135" s="53"/>
      <c r="H135" s="53"/>
      <c r="I135" s="53"/>
      <c r="J135" s="53"/>
      <c r="K135" s="53"/>
      <c r="L135" s="53"/>
      <c r="M135" s="53"/>
      <c r="N135" s="53"/>
      <c r="O135" s="54"/>
      <c r="P135" s="55"/>
    </row>
    <row r="136" spans="1:16" s="60" customFormat="1" x14ac:dyDescent="0.25">
      <c r="A136" s="57"/>
      <c r="B136" s="57"/>
      <c r="C136" s="57"/>
      <c r="D136" s="57"/>
      <c r="E136" s="57"/>
      <c r="F136" s="62" t="s">
        <v>801</v>
      </c>
      <c r="G136" s="57"/>
      <c r="H136" s="57"/>
      <c r="I136" s="57"/>
      <c r="J136" s="57"/>
      <c r="K136" s="57"/>
      <c r="L136" s="57"/>
      <c r="M136" s="57"/>
      <c r="N136" s="57"/>
      <c r="O136" s="58"/>
      <c r="P136" s="59"/>
    </row>
    <row r="137" spans="1:16" s="21" customFormat="1" x14ac:dyDescent="0.25">
      <c r="E137" s="22"/>
      <c r="F137" s="23"/>
      <c r="G137" s="22"/>
      <c r="H137" s="24"/>
      <c r="I137" s="24"/>
      <c r="J137" s="24"/>
      <c r="K137" s="24"/>
      <c r="L137" s="24"/>
      <c r="M137" s="25"/>
      <c r="N137" s="26"/>
      <c r="O137" s="19"/>
      <c r="P137" s="27"/>
    </row>
  </sheetData>
  <sheetProtection algorithmName="SHA-512" hashValue="ZQOXBV4YkFYMJydIjlU6ggqYCT6ePZOHTzanJ48KAOfdMYObc2RzmP30/RwoEcetGZmpeUxfm4Ouims7bBxldw==" saltValue="d6hi9MYljnL2xqWsahmKnQ==" spinCount="100000" sheet="1" objects="1" scenarios="1" formatCells="0" formatColumns="0" formatRows="0" sort="0" autoFilter="0" pivotTables="0"/>
  <sortState ref="A84:P134">
    <sortCondition ref="H84:H134"/>
    <sortCondition descending="1" ref="N84:N134"/>
  </sortState>
  <mergeCells count="5">
    <mergeCell ref="C1:D1"/>
    <mergeCell ref="H1:L1"/>
    <mergeCell ref="M1:N1"/>
    <mergeCell ref="O1:P1"/>
    <mergeCell ref="E1:G1"/>
  </mergeCells>
  <conditionalFormatting sqref="A1:XFD2">
    <cfRule type="colorScale" priority="1">
      <colorScale>
        <cfvo type="min"/>
        <cfvo type="percentile" val="50"/>
        <cfvo type="max"/>
        <color rgb="FFF8696B"/>
        <color rgb="FFFFEB84"/>
        <color rgb="FF63BE7B"/>
      </colorScale>
    </cfRule>
  </conditionalFormatting>
  <printOptions horizontalCentered="1" headings="1" gridLines="1"/>
  <pageMargins left="0.2" right="0.2" top="0.75" bottom="0.75" header="0.3" footer="0.3"/>
  <pageSetup paperSize="3" scale="32" fitToHeight="0" orientation="landscape" r:id="rId1"/>
  <headerFooter>
    <oddHeader>&amp;LANSI/IES TM-32-24&amp;RAnnex B - Additional Parameters</oddHeader>
    <oddFooter>&amp;R&amp;P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53C849871B8154A87B6FDAB238863DF" ma:contentTypeVersion="18" ma:contentTypeDescription="Create a new document." ma:contentTypeScope="" ma:versionID="7289fc46729cbef0d3c787deb2ebcf0b">
  <xsd:schema xmlns:xsd="http://www.w3.org/2001/XMLSchema" xmlns:xs="http://www.w3.org/2001/XMLSchema" xmlns:p="http://schemas.microsoft.com/office/2006/metadata/properties" xmlns:ns2="dbfd126b-d0d6-4830-8dca-2f85ee8e33fb" xmlns:ns3="32459c43-564d-432a-9565-1406d26853e2" targetNamespace="http://schemas.microsoft.com/office/2006/metadata/properties" ma:root="true" ma:fieldsID="8b0a5c158f130e0aab947fcfdcfd07d6" ns2:_="" ns3:_="">
    <xsd:import namespace="dbfd126b-d0d6-4830-8dca-2f85ee8e33fb"/>
    <xsd:import namespace="32459c43-564d-432a-9565-1406d26853e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LengthInSecond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2:MediaServiceOCR"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fd126b-d0d6-4830-8dca-2f85ee8e33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4d7eba1-e5d2-4121-b6d5-c7218a3b846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2459c43-564d-432a-9565-1406d26853e2"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a8a243b-4d42-4110-908a-152c9c6dc6d2}" ma:internalName="TaxCatchAll" ma:showField="CatchAllData" ma:web="32459c43-564d-432a-9565-1406d26853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bfd126b-d0d6-4830-8dca-2f85ee8e33fb">
      <Terms xmlns="http://schemas.microsoft.com/office/infopath/2007/PartnerControls"/>
    </lcf76f155ced4ddcb4097134ff3c332f>
    <TaxCatchAll xmlns="32459c43-564d-432a-9565-1406d26853e2" xsi:nil="true"/>
  </documentManagement>
</p:properties>
</file>

<file path=customXml/itemProps1.xml><?xml version="1.0" encoding="utf-8"?>
<ds:datastoreItem xmlns:ds="http://schemas.openxmlformats.org/officeDocument/2006/customXml" ds:itemID="{1E3B570B-0F0D-471B-B741-08E870B755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fd126b-d0d6-4830-8dca-2f85ee8e33fb"/>
    <ds:schemaRef ds:uri="32459c43-564d-432a-9565-1406d26853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33A9CD1-FBB9-4F20-9873-16D15132CE4F}">
  <ds:schemaRefs>
    <ds:schemaRef ds:uri="http://schemas.microsoft.com/sharepoint/v3/contenttype/forms"/>
  </ds:schemaRefs>
</ds:datastoreItem>
</file>

<file path=customXml/itemProps3.xml><?xml version="1.0" encoding="utf-8"?>
<ds:datastoreItem xmlns:ds="http://schemas.openxmlformats.org/officeDocument/2006/customXml" ds:itemID="{8E1B2EA2-FC5C-4033-87DF-A29C7222A4AE}">
  <ds:schemaRefs>
    <ds:schemaRef ds:uri="http://schemas.openxmlformats.org/package/2006/metadata/core-properties"/>
    <ds:schemaRef ds:uri="http://schemas.microsoft.com/office/2006/metadata/properties"/>
    <ds:schemaRef ds:uri="http://schemas.microsoft.com/office/infopath/2007/PartnerControls"/>
    <ds:schemaRef ds:uri="http://www.w3.org/XML/1998/namespace"/>
    <ds:schemaRef ds:uri="http://schemas.microsoft.com/office/2006/documentManagement/types"/>
    <ds:schemaRef ds:uri="http://purl.org/dc/elements/1.1/"/>
    <ds:schemaRef ds:uri="dbfd126b-d0d6-4830-8dca-2f85ee8e33fb"/>
    <ds:schemaRef ds:uri="32459c43-564d-432a-9565-1406d26853e2"/>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ANSI-IES TM-32-24 Annex B</vt:lpstr>
      <vt:lpstr>'ANSI-IES TM-32-24 Annex B'!Print_Area</vt:lpstr>
      <vt:lpstr>'ANSI-IES TM-32-24 Annex B'!Print_Titles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 Kincaid</dc:creator>
  <cp:keywords/>
  <dc:description/>
  <cp:lastModifiedBy>Dan Ozminkowski</cp:lastModifiedBy>
  <cp:revision/>
  <cp:lastPrinted>2024-04-30T15:54:46Z</cp:lastPrinted>
  <dcterms:created xsi:type="dcterms:W3CDTF">2021-05-24T21:37:21Z</dcterms:created>
  <dcterms:modified xsi:type="dcterms:W3CDTF">2024-04-30T15:54:56Z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0x010100D53C849871B8154A87B6FDAB238863DF</vt:lpwstr>
  </property>
  <property fmtid="{D5CDD505-2E9C-101B-9397-08002B2CF9AE}" pid="3" name="MediaServiceImageTags">
    <vt:lpwstr/>
  </property>
</Properties>
</file>